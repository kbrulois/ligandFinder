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kbrulois/R_projects/ligandFinder/inst/extdata/"/>
    </mc:Choice>
  </mc:AlternateContent>
  <xr:revisionPtr revIDLastSave="0" documentId="8_{9953EF6E-6063-6A4A-9C7F-7A0DD36D66AB}" xr6:coauthVersionLast="47" xr6:coauthVersionMax="47" xr10:uidLastSave="{00000000-0000-0000-0000-000000000000}"/>
  <bookViews>
    <workbookView xWindow="0" yWindow="760" windowWidth="30240" windowHeight="1888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  <c r="E55" i="1" s="1"/>
  <c r="D54" i="1"/>
  <c r="E54" i="1" s="1"/>
  <c r="D53" i="1"/>
  <c r="E53" i="1" s="1"/>
  <c r="D52" i="1"/>
  <c r="E52" i="1" s="1"/>
  <c r="D51" i="1"/>
  <c r="E51" i="1" s="1"/>
  <c r="D50" i="1"/>
  <c r="E50" i="1" s="1"/>
  <c r="D49" i="1"/>
  <c r="E49" i="1" s="1"/>
  <c r="D48" i="1"/>
  <c r="E48" i="1" s="1"/>
  <c r="D47" i="1"/>
  <c r="E47" i="1" s="1"/>
  <c r="D46" i="1"/>
  <c r="E46" i="1" s="1"/>
  <c r="D45" i="1"/>
  <c r="E45" i="1" s="1"/>
  <c r="D44" i="1"/>
  <c r="E44" i="1" s="1"/>
  <c r="D43" i="1"/>
  <c r="E43" i="1" s="1"/>
  <c r="D42" i="1"/>
  <c r="E42" i="1" s="1"/>
  <c r="D41" i="1"/>
  <c r="E41" i="1" s="1"/>
  <c r="D40" i="1"/>
  <c r="E40" i="1" s="1"/>
  <c r="D39" i="1"/>
  <c r="E39" i="1" s="1"/>
  <c r="E38" i="1"/>
  <c r="D38" i="1"/>
  <c r="D37" i="1"/>
  <c r="E37" i="1" s="1"/>
  <c r="D36" i="1"/>
  <c r="E36" i="1" s="1"/>
  <c r="D35" i="1"/>
  <c r="E35" i="1" s="1"/>
  <c r="D34" i="1"/>
  <c r="E34" i="1" s="1"/>
  <c r="D33" i="1"/>
  <c r="E33" i="1" s="1"/>
  <c r="D32" i="1"/>
  <c r="E32" i="1" s="1"/>
  <c r="E31" i="1"/>
  <c r="D31" i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E2" i="1"/>
  <c r="D2" i="1"/>
  <c r="J33" i="1"/>
  <c r="J3" i="1"/>
  <c r="J13" i="1"/>
  <c r="J35" i="1"/>
  <c r="J6" i="1"/>
  <c r="J27" i="1"/>
  <c r="J29" i="1"/>
  <c r="J42" i="1"/>
  <c r="J47" i="1"/>
  <c r="J43" i="1"/>
  <c r="J55" i="1"/>
  <c r="J45" i="1"/>
  <c r="J38" i="1"/>
  <c r="J17" i="1"/>
  <c r="J50" i="1"/>
  <c r="J12" i="1"/>
  <c r="J5" i="1"/>
  <c r="J40" i="1"/>
  <c r="J16" i="1"/>
  <c r="J14" i="1"/>
  <c r="J22" i="1"/>
  <c r="J23" i="1"/>
  <c r="J4" i="1"/>
  <c r="J20" i="1"/>
  <c r="J37" i="1"/>
  <c r="J8" i="1"/>
  <c r="J49" i="1"/>
  <c r="J48" i="1"/>
  <c r="J9" i="1"/>
  <c r="J25" i="1"/>
  <c r="J34" i="1"/>
  <c r="J53" i="1"/>
  <c r="J30" i="1"/>
  <c r="J21" i="1"/>
  <c r="J36" i="1"/>
  <c r="J10" i="1"/>
  <c r="J31" i="1"/>
  <c r="J39" i="1"/>
  <c r="J52" i="1"/>
  <c r="J26" i="1"/>
  <c r="J54" i="1"/>
  <c r="J18" i="1"/>
  <c r="J7" i="1"/>
  <c r="J46" i="1"/>
  <c r="J11" i="1"/>
  <c r="J32" i="1"/>
  <c r="J2" i="1"/>
  <c r="J19" i="1"/>
  <c r="J41" i="1"/>
  <c r="J28" i="1"/>
  <c r="J24" i="1"/>
  <c r="J15" i="1"/>
  <c r="J51" i="1"/>
  <c r="J44" i="1"/>
</calcChain>
</file>

<file path=xl/sharedStrings.xml><?xml version="1.0" encoding="utf-8"?>
<sst xmlns="http://schemas.openxmlformats.org/spreadsheetml/2006/main" count="574" uniqueCount="315">
  <si>
    <t>Peptide</t>
  </si>
  <si>
    <t>hemolytic</t>
  </si>
  <si>
    <t>toxic</t>
  </si>
  <si>
    <t>antimicrobial</t>
  </si>
  <si>
    <t>antivirus</t>
  </si>
  <si>
    <t>antiparasite</t>
  </si>
  <si>
    <t>anticancer</t>
  </si>
  <si>
    <t>antibacterial</t>
  </si>
  <si>
    <t>antifungal</t>
  </si>
  <si>
    <t>cellcellsignaling</t>
  </si>
  <si>
    <t>neuropeptide</t>
  </si>
  <si>
    <t>peptidehormone</t>
  </si>
  <si>
    <t>antifreeze</t>
  </si>
  <si>
    <t>cytokines_growthfactors</t>
  </si>
  <si>
    <t>antioxidative</t>
  </si>
  <si>
    <t>drugdelivery</t>
  </si>
  <si>
    <t>opioid</t>
  </si>
  <si>
    <t>ACE inhibitor</t>
  </si>
  <si>
    <t>antihypertensive</t>
  </si>
  <si>
    <t>antidiabetes</t>
  </si>
  <si>
    <t>dipeptidyl peptidase inhibitor</t>
  </si>
  <si>
    <t>DLVRHPVPLMPEFQRSIRLLG</t>
  </si>
  <si>
    <t>VSATAAAVVPEQHASVAGQHPLDWLLTDRGPFHRAQEYADFMERYRQGFTTRYRIYREFARWKVNNLALE</t>
  </si>
  <si>
    <t>AVSDQHATSPFDWLLSDKGPFHRSQEYTDFVDRSRQGFSTRYKIYREFGRWKVNNLAVE</t>
  </si>
  <si>
    <t>NFLGSPLPLAPEFFRNIRLLGRRPTLQQITENLI</t>
  </si>
  <si>
    <t>YEQLENSMKQLFLKAQKIVHKLFSLS</t>
  </si>
  <si>
    <t>CHKQPLISLPRQRTSTYWLTRIQSFLYCNENGLLGSFSEETHSCTCPNDQVVCTAFLPCTVGDASACLTCAPDNRTRCGTCNTGYMLSQGLCKPEVAESTDHYIGFETDLQDLEMKYLLQKTDRRIEVHAIFISNDMRLNSWFDPSW</t>
  </si>
  <si>
    <t>CHKQPLISLPRQRTSTYWLTRIQSFLYCNENGLLGSFSEETHSCTCPNDQVVCTAFLPCTVGDASACLTCAPDNRTRCGTCNTGYMLSQGLCKPEVAESTDHYIGFETDLQDLEMKYLLQKTD</t>
  </si>
  <si>
    <t>RWRGEGTSAHLRDIFLGRCAEYRALLSPEQRNKNCTAIWEAFKVALD</t>
  </si>
  <si>
    <t>GPEGHYEMLGT</t>
  </si>
  <si>
    <t>GPEGHYEMLGTCRMVCDPYPA</t>
  </si>
  <si>
    <t>HYEMMGTCRMI</t>
  </si>
  <si>
    <t>HYEMMGT</t>
  </si>
  <si>
    <t>HYEMMGTCRMICDPYTAAPGGEPPGAKAQPPGPSTAALEVMQDLSANPPPPFIQGP</t>
  </si>
  <si>
    <t>HYEMLGTCRMVCDPYGGTKAPSTAATPDRGLMQSLPTFIQGPKGEAGRPGKAGPRGPPGEPGPPGPMGPPGEKGEPGRQGLPGPPGAPGLNAAGAISAATYSTVPKIAFYAGL</t>
  </si>
  <si>
    <t>HYEMLGTCRMVCDPYGGTKAPSTAATPD</t>
  </si>
  <si>
    <t>SRGPAHYEMLGRCRMVCDPHGPRGPGPDGAPASVPPFPPGAKGEVG</t>
  </si>
  <si>
    <t>WPGLPRRPCVHCCRPAWPPGPYARVSDRDLWRGDLWRGLPRVRPTIDIEILKGEKGEAGVRGRAGRSGKEGPPGARGLQG</t>
  </si>
  <si>
    <t>QEDAELQPRALDIYSAVDDASHEKELIEALQEVLKKLKSKRVPIYE</t>
  </si>
  <si>
    <t>YGQVPMCDAGEQCAV</t>
  </si>
  <si>
    <t>YGQVPMCDAGEQCAVRKGARIGKLCDCPRGTSCNSFLLKCL</t>
  </si>
  <si>
    <t>QEGLDFPEYDGVDRVINVNAKNYKNVF</t>
  </si>
  <si>
    <t>QNETEPIVLEG</t>
  </si>
  <si>
    <t>QNETEPIVLEGKCLVVCDSNPTSDPTGTALGISVRSGSAKVAFSAIRSTNHEPSEMSNRTMIIYFDQVLVNIGNNFDSERSTFIAP</t>
  </si>
  <si>
    <t>QNDTEPIVLEG</t>
  </si>
  <si>
    <t>QNDTEPIVLEGKCLVVCDSSPSADGAVTSSLGISVRSGSAKVAFSATRSTNHEPSEMSNRTMTIYFDQVLVNIGNHFDLASSIFVAP</t>
  </si>
  <si>
    <t>QEGSEPVLLEGE</t>
  </si>
  <si>
    <t>QEGSEPVLLEGECLVVCEPGRAAAGGPGGAALGEAPPGRVAFAAVRSHHHEPAGETGNGTSGAIYFDQVLVNEGGGFDRASGSFVAPVRGVYSFRFHVVKVYNRQTVQVSLMLNTWPVISAFANDPDVTREAATSSVLLPLDPGDRVSLRL</t>
  </si>
  <si>
    <t>QNDTEPIVLEGK</t>
  </si>
  <si>
    <t>QNDTEPIVLEGKCLVVCDSNPATDSKGSSSSPLGISVRAANSKVAFSAVRSTNHEPSEMSNKTRIIYFDQILVNVGNFFTLESVFVAP</t>
  </si>
  <si>
    <t>LMLLHYTFQQPRHQSSVKLREQILDLS</t>
  </si>
  <si>
    <t>YVKALAEENKNTVDVENGASMAGYADL</t>
  </si>
  <si>
    <t>TIAVLLDDILQRLVKLENKVDYIVVNGSAANTTNGTSGNLVPVTTN</t>
  </si>
  <si>
    <t>GPRISRSQSEL</t>
  </si>
  <si>
    <t>TLRTSLDPSLEIYKKMFEV</t>
  </si>
  <si>
    <t>TLRTSLDPSLEIY</t>
  </si>
  <si>
    <t>APLAPRPSKEELTRCLAEVVTEVLTVGQVQRGPCTALLHKELCGTEPHGCASTEEKGLLLGDF</t>
  </si>
  <si>
    <t>APPDQPWVERIIQRLQRTSAKM</t>
  </si>
  <si>
    <t>FWHHFMF</t>
  </si>
  <si>
    <t>DCPECTLQENPFFSQPGAPILQCMGCCFSRAYPTPLRSKKTMLVQKNVTSESTCCVAKSYNRVTVMGGFKVENHTACHCSTCYYH</t>
  </si>
  <si>
    <t>LPVNSPMNKGDTEVMKCIVEVISDTLSKPSPMPVSQECFETLRGDERILSILRHQNLLKELQDLALQGAKERAHQQ</t>
  </si>
  <si>
    <t>WSKMDQLAKELTAEKRLEGQEEEEDNRDSSMKLSFRARAYGFRGPGPQL</t>
  </si>
  <si>
    <t>GWRPSSREDSLEAGLPLQVRGYPEE</t>
  </si>
  <si>
    <t>EEEGSANRRPEDQELESLSAIEAELEKVAHQLQAL</t>
  </si>
  <si>
    <t>CIIEVLSNALSKSSAPPITPECRQVLKTS</t>
  </si>
  <si>
    <t>DNMNDNFLEGEEENELTLNEKNFFPEYNYDWWEKKPFSEDVNWGYE</t>
  </si>
  <si>
    <t>NLARVPKLDL</t>
  </si>
  <si>
    <t>QYDRVAQLDQLLHY</t>
  </si>
  <si>
    <t>SAEFPDFYDSEEPVSTHQEAENEKDRADQTVLTEDE</t>
  </si>
  <si>
    <t>ELENLAAMDLELQKIAEKFSQRG</t>
  </si>
  <si>
    <t>TLSKSDAKKAASKTLLEKSQFSDKPVQDRGLVVTDLKAESVVLEHRSYCSAKARDRHFAGDVLGYVTPWNSHGYDVTKVFGSKFTQISPVWLQL</t>
  </si>
  <si>
    <t>CLQSVLEGLGSRTQLAMLLFEQEQGNST</t>
  </si>
  <si>
    <t>DQTVSDNELQEMSNQGSKYVNKEIQNAVNGVKQIKTLIEKTNEE</t>
  </si>
  <si>
    <t>TLLSNLEEA</t>
  </si>
  <si>
    <t>GSLRYAKGQSQTMATLKGLVQKGVKVDLGIPLELWDEPSVEVTYL</t>
  </si>
  <si>
    <t>AA number</t>
  </si>
  <si>
    <t>Selected: APLAPRPSKEELTRCLAEVVTEVLTVGQVQRGPCTALLHKELCGTEPHGCASTEEKGLLLGDF | hCCER2x24x86 | 10/20/2025, 12:36:56 PM âœ–</t>
  </si>
  <si>
    <t>hCCER2x24x86</t>
  </si>
  <si>
    <t>Selected: APPDQPWVERIIQRLQRTSAKM | hCCL19x72x93 | 10/20/2025, 12:37:49 PM âœ–</t>
  </si>
  <si>
    <t>hCCL19x72x93</t>
  </si>
  <si>
    <t>Selected: AVSDQHATSPFDWLLSDKGPFHRSQEYTDFVDRSRQGFSTRYKIYREFGRWKVNNLAVE | hBRNP3x34x92 | 10/20/2025, 10:29:30 AM âœ–</t>
  </si>
  <si>
    <t>hBRNP3x34x92</t>
  </si>
  <si>
    <t>Selected: CHKQPLISLPRQRTSTYWLTRIQSFLYCNENGLLGSFSEETHSCTCPNDQVVCTAFLPCTVGDASACLTCAPDNRTRCGTCNTGYMLSQGLCKPEVAESTDHYIGFETDLQDLEMKYLLQKTD | hBRNP3x383x505 | 10/20/2025, 10:37:11 AM âœ–</t>
  </si>
  <si>
    <t>hBRNP3x383x505</t>
  </si>
  <si>
    <t>Selected: CHKQPLISLPRQRTSTYWLTRIQSFLYCNENGLLGSFSEETHSCTCPNDQVVCTAFLPCTVGDASACLTCAPDNRTRCGTCNTGYMLSQGLCKPEVAESTDHYIGFETDLQDLEMKYLLQKTDRRIEVHAIFISNDMRLNSWFDPSW | hBRNP3x383x529 | 10/20/2025, 10:36:06 AM âœ–</t>
  </si>
  <si>
    <t>hBRNP3x383x529</t>
  </si>
  <si>
    <t>Selected: CIIEVLSNALSKSSAPPITPECRQVLKTS | hSCG1x36x64 | 10/20/2025, 12:49:00 PM âœ–</t>
  </si>
  <si>
    <t>hSCG1x36x64</t>
  </si>
  <si>
    <t>Selected: CLQSVLEGLGSRTQLAMLLFEQEQGNST | hCHSS2x748x775 | 10/20/2025, 12:54:48 PM âœ–  C term</t>
  </si>
  <si>
    <t>hCHSS2x748x775</t>
  </si>
  <si>
    <t>Selected: DCPECTLQENPFFSQPGAPILQCMGCCFSRAYPTPLRSKKTMLVQKNVTSESTCCVAKSYNRVTVMGGFKVENHTACHCSTCYYH | hGLHAx30x114 | 10/20/2025, 12:47:03 PM âœ–</t>
  </si>
  <si>
    <t>hGLHAx30x114</t>
  </si>
  <si>
    <t>Selected: DLVRHPVPLMPEFQRSIRLLG | hBRNP1x89x109 | 10/20/2025, 11:50:46 AM â</t>
  </si>
  <si>
    <t>hBRNP1x89x109</t>
  </si>
  <si>
    <t>Selected: DNMNDNFLEGEEENELTLNEKNFFPEYNYDWWEKKPFSEDVNWGYE | hSCG1x540x585 | 10/20/2025, 12:49:47 PM âœ–</t>
  </si>
  <si>
    <t>hSCG1x540x585</t>
  </si>
  <si>
    <t>Selected: DQTVSDNELQEMSNQGSKYVNKEIQNAVNGVKQIKTLIEKTNEE | hCLUSx23x66 | 10/20/2025, 12:59:45 PM âœ–</t>
  </si>
  <si>
    <t>hCLUSx23x66</t>
  </si>
  <si>
    <t>Selected: EEEGSANRRPEDQELESLSAIEAELEKVAHQLQAL | hCMGAx420x454 | 10/20/2025, 12:52:26 PM âœ–</t>
  </si>
  <si>
    <t>hCMGAx420x454</t>
  </si>
  <si>
    <t>Selected: ELENLAAMDLELQKIAEKFSQRG | hSCG1x655x677 | 10/20/2025, 12:51:12 PM âœ–</t>
  </si>
  <si>
    <t>hSCG1x655x677</t>
  </si>
  <si>
    <t>Selected: FWHHFMF | hCER1x133x139 | 10/20/2025, 12:40:35 PM âœ–</t>
  </si>
  <si>
    <t>hCER1x133x139</t>
  </si>
  <si>
    <t>Selected: GPEGHYEMLGT | hC1QRFx17x27 | 10/20/2025, 11:19:30 AM âœ–</t>
  </si>
  <si>
    <t>hC1QRFx17x27</t>
  </si>
  <si>
    <t>Selected: GPEGHYEMLGTCRMVCDPYPA | hC1QRFx17x37 | 10/20/2025, 12:15:07 PM âœ–</t>
  </si>
  <si>
    <t>hC1QRFx17x37</t>
  </si>
  <si>
    <t>Selected: GPRISRSQSEL | hCC134x219x229 | 10/20/2025, 12:34:06 PM âœ–</t>
  </si>
  <si>
    <t>hCC134x219x229</t>
  </si>
  <si>
    <t>Selected: GSLRYAKGQSQTMATLKGLVQKGVKVDLGIPLELWDEPSVEVTYL | hCNPY4x108x152 | 10/20/2025, 1:04:13 PM âœ–</t>
  </si>
  <si>
    <t>hCNPY4x108x152</t>
  </si>
  <si>
    <t>Selected: GWRPSSREDSLEAGLPLQVRGYPEE | hCMGAx393x417 | 10/20/2025, 12:52:10 PM âœ–</t>
  </si>
  <si>
    <t>hCMGAx393x417</t>
  </si>
  <si>
    <t>Selected: HYEMLGTCRMVCDPYGGTKAPSTAATPD | hC1QL3x21x48 | 10/20/2025, 12:20:31 PM âœ–</t>
  </si>
  <si>
    <t>hC1QL3x21x48</t>
  </si>
  <si>
    <t>Selected: HYEMLGTCRMVCDPYGGTKAPSTAATPDRGLMQSLPTFIQGPKGEAGRPGKAGPRGPPGEPGPPGPMGPPGEKGEPGRQGLPGPPGAPGLNAAGAISAATYSTVPKIAFYAGL | hC1QL3x21x133 | 10/20/2025, 12:20:19 PM âœ–</t>
  </si>
  <si>
    <t>hC1QL3x21x133</t>
  </si>
  <si>
    <t>Selected: HYEMMGT | hC1QL2x22x28 | 10/20/2025, 11:20:47 AM âœ–</t>
  </si>
  <si>
    <t>hC1QL2x22x28</t>
  </si>
  <si>
    <t>Selected: HYEMMGTCRMI | hC1QL2x22x32 | 10/20/2025, 11:20:27 AM âœ–</t>
  </si>
  <si>
    <t>hC1QL2x22x32</t>
  </si>
  <si>
    <t>Selected: HYEMMGTCRMICDPYTAAPGGEPPGAKAQPPGPSTAALEVMQDLSANPPPPFIQGP | hC1QL2x22x77 | 10/20/2025, 12:19:30 PM âœ–</t>
  </si>
  <si>
    <t>hC1QL2x22x77</t>
  </si>
  <si>
    <t>Selected: LMLLHYTFQQPRHQSSVKLREQILDLS | hCC126x27x53 | 10/20/2025, 12:27:26 PM âœ–</t>
  </si>
  <si>
    <t>hCC126x27x53</t>
  </si>
  <si>
    <t>Selected: LPVNSPMNKGDTEVMKCIVEVISDTLSKPSPMPVSQECFETLRGDERILSILRHQNLLKELQDLALQGAKERAHQQ | hCMGAx19x94 | 10/20/2025, 12:48:09 PM âœ–</t>
  </si>
  <si>
    <t>hCMGAx19x94</t>
  </si>
  <si>
    <t>Selected: NFLGSPLPLAPEFFRNIRLLGRRPTLQQITENLI | hBRNP3x95x128 | 10/20/2025, 10:30:45 AM âœ–</t>
  </si>
  <si>
    <t>hBRNP3x95x128</t>
  </si>
  <si>
    <t>Selected: NLARVPKLDL | hSCG1x588x597 | 10/20/2025, 12:50:07 PM âœ–</t>
  </si>
  <si>
    <t>hSCG1x588x597</t>
  </si>
  <si>
    <t>Selected: QEDAELQPRALDIYSAVDDASHEKELIEALQEVLKKLKSKRVPIYE | hCARTx28x73 | 10/20/2025, 11:22:33 AM âœ–</t>
  </si>
  <si>
    <t>hCARTx28x73</t>
  </si>
  <si>
    <t>Selected: QEGLDFPEYDGVDRVINVNAKNYKNVF | hCASQ1x35x61 | 10/20/2025, 11:25:50 AM âœ–</t>
  </si>
  <si>
    <t>hCASQ1x35x61</t>
  </si>
  <si>
    <t>Selected: QEGSEPVLLEGE | hCBLN3x33x44 | 10/20/2025, 11:27:44 AM âœ–</t>
  </si>
  <si>
    <t>hCBLN3x33x44</t>
  </si>
  <si>
    <t>Selected: QEGSEPVLLEGECLVVCEPGRAAAGGPGGAALGEAPPGRVAFAAVRSHHHEPAGETGNGTSGAIYFDQVLVNEGGGFDRASGSFVAPVRGVYSFRFHVVKVYNRQTVQVSLMLNTWPVISAFANDPDVTREAATSSVLLPLDPGDRVSLRL | hCBLN3x33x183 | 10/20/2025, 12:26:19 PM âœ–</t>
  </si>
  <si>
    <t>hCBLN3x33x183</t>
  </si>
  <si>
    <t>Selected: QNDTEPIVLEG | hCBLN2x52x62 | 10/20/2025, 11:27:21 AM âœ–</t>
  </si>
  <si>
    <t>hCBLN2x52x62</t>
  </si>
  <si>
    <t>Selected: QNDTEPIVLEGK | hCBLN4x28x39 | 10/20/2025, 11:53:36 AM âœ–</t>
  </si>
  <si>
    <t>hCBLN4x28x39</t>
  </si>
  <si>
    <t>Selected: QNDTEPIVLEGKCLVVCDSNPATDSKGSSSSPLGISVRAANSKVAFSAVRSTNHEPSEMSNKTRIIYFDQILVNVGNFFTLESVFVAP | hCBLN4x28x115 | 10/20/2025, 12:26:44 PM âœ–</t>
  </si>
  <si>
    <t>hCBLN4x28x115</t>
  </si>
  <si>
    <t>Selected: QNDTEPIVLEGKCLVVCDSSPSADGAVTSSLGISVRSGSAKVAFSATRSTNHEPSEMSNRTMTIYFDQVLVNIGNHFDLASSIFVAP | hCBLN2x52x138 | 10/20/2025, 12:25:53 PM âœ–</t>
  </si>
  <si>
    <t>hCBLN2x52x138</t>
  </si>
  <si>
    <t>Selected: QNETEPIVLEG | hCBLN1x22x32 | 10/20/2025, 11:26:51 AM âœ–</t>
  </si>
  <si>
    <t>hCBLN1x22x32</t>
  </si>
  <si>
    <t>Selected: QNETEPIVLEGKCLVVCDSNPTSDPTGTALGISVRSGSAKVAFSAIRSTNHEPSEMSNRTMIIYFDQVLVNIGNNFDSERSTFIAP | hCBLN1x22x107 | 10/20/2025, 12:25:16 PM âœ–</t>
  </si>
  <si>
    <t>hCBLN1x22x107</t>
  </si>
  <si>
    <t>Selected: QYDRVAQLDQLLHY | hSCG1x600x613 | 10/20/2025, 12:50:15 PM âœ–</t>
  </si>
  <si>
    <t>hSCG1x600x613</t>
  </si>
  <si>
    <t>Selected: RWRGEGTSAHLRDIFLGRCAEYRALLSPEQRNKNCTAIWEAFKVALD | hBST1x33x79 | 10/20/2025, 12:13:42 PM âœ–</t>
  </si>
  <si>
    <t>hBST1x33x79</t>
  </si>
  <si>
    <t>Selected: SAEFPDFYDSEEPVSTHQEAENEKDRADQTVLTEDE | hSCG1x617x652 | 10/20/2025, 12:50:33 PM âœ–</t>
  </si>
  <si>
    <t>hSCG1x617x652</t>
  </si>
  <si>
    <t>Selected: SRGPAHYEMLGRCRMVCDPHGPRGPGPDGAPASVPPFPPGAKGEVG | hC1QL4x16x61 | 10/20/2025, 12:20:52 PM âœ–</t>
  </si>
  <si>
    <t>hC1QL4x16x61</t>
  </si>
  <si>
    <t>Selected: TIAVLLDDILQRLVKLENKVDYIVVNGSAANTTNGTSGNLVPVTTN | hCC126x85x130 | 10/20/2025, 12:27:47 PM âœ–</t>
  </si>
  <si>
    <t>hCC126x85x130</t>
  </si>
  <si>
    <t>Selected: TLLSNLEEA | hCLUSx69x77 | 10/20/2025, 12:59:52 PM âœ–</t>
  </si>
  <si>
    <t>hCLUSx69x77</t>
  </si>
  <si>
    <t>Selected: TLRTSLDPSLEIY | hCC134x23x35 | 10/20/2025, 12:35:52 PM âœ–</t>
  </si>
  <si>
    <t>hCC134x23x35</t>
  </si>
  <si>
    <t>Selected: TLRTSLDPSLEIYKKMFEV | hCC134x23x41 | 10/20/2025, 12:35:47 PM âœ–</t>
  </si>
  <si>
    <t>hCC134x23x41</t>
  </si>
  <si>
    <t>Selected: TLSKSDAKKAASKTLLEKSQFSDKPVQDRGLVVTDLKAESVVLEHRSYCSAKARDRHFAGDVLGYVTPWNSHGYDVTKVFGSKFTQISPVWLQL | hCHID1x20x113 | 10/20/2025, 12:53:17 PM âœ–</t>
  </si>
  <si>
    <t>hCHID1x20x113</t>
  </si>
  <si>
    <t>Selected: VSATAAAVVPEQHASVAGQHPLDWLLTDRGPFHRAQEYADFMERYRQGFTTRYRIYREFARWKVNNLALE | hBRNP2x34x103 | 10/20/2025, 11:51:31 AM</t>
  </si>
  <si>
    <t>hBRNP2x34x103</t>
  </si>
  <si>
    <t>Selected: WPGLPRRPCVHCCRPAWPPGPYARVSDRDLWRGDLWRGLPRVRPTIDIEILKGEKGEAGVRGRAGRSGKEGPPGARGLQG | hC1QT8x18x97 | 10/20/2025, 12:21:25 PM âœ–</t>
  </si>
  <si>
    <t>hC1QT8x18x97</t>
  </si>
  <si>
    <t>Selected: WSKMDQLAKELTAEKRLEGQEEEEDNRDSSMKLSFRARAYGFRGPGPQL | hCMGAx342x390 | 10/20/2025, 12:52:00 PM âœ–</t>
  </si>
  <si>
    <t>hCMGAx342x390</t>
  </si>
  <si>
    <t>Selected: YEQLENSMKQLFLKAQKIVHKLFSLS | hBRNP3x355x380 | 10/20/2025, 10:34:51 AM âœ–</t>
  </si>
  <si>
    <t>hBRNP3x355x380</t>
  </si>
  <si>
    <t>Selected: YGQVPMCDAGEQCAV | hCARTx76x90 | 10/20/2025, 11:23:51 AM âœ–</t>
  </si>
  <si>
    <t>hCARTx76x90</t>
  </si>
  <si>
    <t>Selected: YGQVPMCDAGEQCAVRKGARIGKLCDCPRGTSCNSFLLKCL | hCARTx76x116 | 10/20/2025, 11:24:21 AM âœ–</t>
  </si>
  <si>
    <t>hCARTx76x116</t>
  </si>
  <si>
    <t>Selected: YVKALAEENKNTVDVENGASMAGYADL | hCC126x56x82 | 10/20/2025, 12:27:38 PM âœ–</t>
  </si>
  <si>
    <t>hCC126x56x82</t>
  </si>
  <si>
    <t>https://agbg.shinyapps.io/MultiPep/</t>
  </si>
  <si>
    <t>Number</t>
  </si>
  <si>
    <t>Original</t>
  </si>
  <si>
    <t>AF2 Code</t>
  </si>
  <si>
    <t>Short Uniprot code</t>
  </si>
  <si>
    <t>ShortProteinID</t>
  </si>
  <si>
    <t>GeneName</t>
  </si>
  <si>
    <t>UniProtAcc</t>
  </si>
  <si>
    <t>UniProtEntry</t>
  </si>
  <si>
    <t>ProteinName</t>
  </si>
  <si>
    <t>GLHA</t>
  </si>
  <si>
    <t>CGA</t>
  </si>
  <si>
    <t>P01215</t>
  </si>
  <si>
    <t>GLHA_HUMAN</t>
  </si>
  <si>
    <t>Glycoprotein hormones alpha chain (Anterior pituitary glycoprotein hormones common subunit alpha) (Choriogonadotropin alpha chain) (Chorionic gonadotrophin subunit alpha) (CG-alpha) (Follicle-stimulating hormone alpha chain) (FSH-alpha) (Follitropin alpha chain) (Luteinizing hormone alpha chain) (LSH-alpha) (Lutropin alpha chain) (Thyroid-stimulating hormone alpha chain) (TSH-alpha) (Thyrotropin alpha chain)</t>
  </si>
  <si>
    <t>CART</t>
  </si>
  <si>
    <t>CARTPT</t>
  </si>
  <si>
    <t>Q16568</t>
  </si>
  <si>
    <t>CART_HUMAN</t>
  </si>
  <si>
    <t>Cocaine- and amphetamine-regulated transcript protein [Cleaved into: CART(1-39); CART(42-89)]</t>
  </si>
  <si>
    <t>CBLN3</t>
  </si>
  <si>
    <t>Q6UW01</t>
  </si>
  <si>
    <t>CBLN3_HUMAN</t>
  </si>
  <si>
    <t>Cerebellin-3</t>
  </si>
  <si>
    <t>CBLN1</t>
  </si>
  <si>
    <t>P23435</t>
  </si>
  <si>
    <t>CBLN1_HUMAN</t>
  </si>
  <si>
    <t>Cerebellin-1 (Precerebellin) [Cleaved into: Cerebellin (CER); [des-Ser1]-cerebellin]</t>
  </si>
  <si>
    <t>CMGA</t>
  </si>
  <si>
    <t>CHGA</t>
  </si>
  <si>
    <t>P10645</t>
  </si>
  <si>
    <t>CMGA_HUMAN</t>
  </si>
  <si>
    <t>Chromogranin-A (CgA) (Pituitary secretory protein I) (SP-I) [Cleaved into: Vasostatin-1 (Vasostatin I); Vasostatin-2 (Vasostatin II); EA-92; ES-43; Pancreastatin; SS-18; WA-8; WE-14; LF-19; Catestatin (SL21); AL-11; GV-19; GR-44; ER-37; GE-25; Serpinin-RRG; Serpinin; p-Glu serpinin precursor]</t>
  </si>
  <si>
    <t>SCG1</t>
  </si>
  <si>
    <t>CHGB</t>
  </si>
  <si>
    <t>P05060</t>
  </si>
  <si>
    <t>SCG1_HUMAN</t>
  </si>
  <si>
    <t>Secretogranin-1 (Chromogranin-B) (CgB) (Secretogranin I) (SgI) [Cleaved into: PE-11; GAWK peptide; CCB peptide]</t>
  </si>
  <si>
    <t>CBLN4</t>
  </si>
  <si>
    <t>Q9NTU7</t>
  </si>
  <si>
    <t>CBLN4_HUMAN</t>
  </si>
  <si>
    <t>Cerebellin-4 (Cerebellin-like glycoprotein 1)</t>
  </si>
  <si>
    <t>BRNP3</t>
  </si>
  <si>
    <t>BRINP3</t>
  </si>
  <si>
    <t>Q76B58</t>
  </si>
  <si>
    <t>BRNP3_HUMAN</t>
  </si>
  <si>
    <t>BMP/retinoic acid-inducible neural-specific protein 3 (DBCCR1-like protein 1)</t>
  </si>
  <si>
    <t>CBLN2</t>
  </si>
  <si>
    <t>Q8IUK8</t>
  </si>
  <si>
    <t>CBLN2_HUMAN</t>
  </si>
  <si>
    <t>Cerebellin-2</t>
  </si>
  <si>
    <t>CHSS2</t>
  </si>
  <si>
    <t>CHPF</t>
  </si>
  <si>
    <t>Q8IZ52</t>
  </si>
  <si>
    <t>CHSS2_HUMAN</t>
  </si>
  <si>
    <t>Chondroitin sulfate synthase 2 (EC 2.4.1.175) (EC 2.4.1.226) (Chondroitin glucuronyltransferase 2) (Chondroitin-polymerizing factor) (ChPF) (Glucuronosyl-N-acetylgalactosaminyl-proteoglycan 4-beta-N-acetylgalactosaminyltransferase II) (N-acetylgalactosaminyl-proteoglycan 3-beta-glucuronosyltransferase II) (N-acetylgalactosaminyltransferase 2)</t>
  </si>
  <si>
    <t>C1QL3</t>
  </si>
  <si>
    <t>Q5VWW1</t>
  </si>
  <si>
    <t>C1QL3_HUMAN</t>
  </si>
  <si>
    <t>Complement C1q-like protein 3 (C1q and tumor necrosis factor-related protein 13) (C1q/TNF-related protein 13)</t>
  </si>
  <si>
    <t>CC126</t>
  </si>
  <si>
    <t>CCDC126</t>
  </si>
  <si>
    <t>Q96EE4</t>
  </si>
  <si>
    <t>CC126_HUMAN</t>
  </si>
  <si>
    <t>Coiled-coil domain-containing protein 126</t>
  </si>
  <si>
    <t>C1QRF</t>
  </si>
  <si>
    <t>C1QL1</t>
  </si>
  <si>
    <t>O75973</t>
  </si>
  <si>
    <t>C1QRF_HUMAN</t>
  </si>
  <si>
    <t>C1q-related factor (C1q and tumor necrosis factor-related protein 14) (C1q/TNF-related protein 14) (Complement component 1 Q subcomponent-like 1)</t>
  </si>
  <si>
    <t>C1QT8</t>
  </si>
  <si>
    <t>C1QTNF8</t>
  </si>
  <si>
    <t>P60827</t>
  </si>
  <si>
    <t>C1QT8_HUMAN</t>
  </si>
  <si>
    <t>Complement C1q tumor necrosis factor-related protein 8 (C1q/TNF-related protein 8) (CTRP8)</t>
  </si>
  <si>
    <t>BRNP2</t>
  </si>
  <si>
    <t>BRINP2</t>
  </si>
  <si>
    <t>Q9C0B6</t>
  </si>
  <si>
    <t>BRNP2_HUMAN</t>
  </si>
  <si>
    <t>BMP/retinoic acid-inducible neural-specific protein 2 (DBCCR1-like protein 2)</t>
  </si>
  <si>
    <t>C1QL2</t>
  </si>
  <si>
    <t>Q7Z5L3</t>
  </si>
  <si>
    <t>C1QL2_HUMAN</t>
  </si>
  <si>
    <t>Complement C1q-like protein 2 (C1q and tumor necrosis factor-related protein 10) (C1q/TNF-related protein 10)</t>
  </si>
  <si>
    <t>CNPY4</t>
  </si>
  <si>
    <t>Q8N129</t>
  </si>
  <si>
    <t>CNPY4_HUMAN</t>
  </si>
  <si>
    <t>Protein canopy homolog 4</t>
  </si>
  <si>
    <t>BRNP1</t>
  </si>
  <si>
    <t>BRINP1</t>
  </si>
  <si>
    <t>O60477</t>
  </si>
  <si>
    <t>BRNP1_HUMAN</t>
  </si>
  <si>
    <t>BMP/retinoic acid-inducible neural-specific protein 1 (Deleted in bladder cancer protein 1)</t>
  </si>
  <si>
    <t>CASQ1</t>
  </si>
  <si>
    <t>P31415</t>
  </si>
  <si>
    <t>CASQ1_HUMAN</t>
  </si>
  <si>
    <t>Calsequestrin-1 (Calmitine) (Calsequestrin, skeletal muscle isoform)</t>
  </si>
  <si>
    <t>C1QL4</t>
  </si>
  <si>
    <t>Q86Z23</t>
  </si>
  <si>
    <t>C1QL4_HUMAN</t>
  </si>
  <si>
    <t>Complement C1q-like protein 4 (C1q and tumor necrosis factor-related protein 11) (C1q/TNF-related protein 11)</t>
  </si>
  <si>
    <t>CC134</t>
  </si>
  <si>
    <t>CCDC134</t>
  </si>
  <si>
    <t>Q9H6E4</t>
  </si>
  <si>
    <t>CC134_HUMAN</t>
  </si>
  <si>
    <t>Coiled-coil domain-containing protein 134</t>
  </si>
  <si>
    <t>CHID1</t>
  </si>
  <si>
    <t>Q9BWS9</t>
  </si>
  <si>
    <t>CHID1_HUMAN</t>
  </si>
  <si>
    <t>Chitinase domain-containing protein 1 (Stabilin-1-interacting chitinase-like protein) (SI-CLP)</t>
  </si>
  <si>
    <t>CCER2</t>
  </si>
  <si>
    <t>I3L3R5</t>
  </si>
  <si>
    <t>CCER2_HUMAN</t>
  </si>
  <si>
    <t>Coiled-coil domain-containing glutamate-rich protein 2</t>
  </si>
  <si>
    <t>CLUS</t>
  </si>
  <si>
    <t>CLU</t>
  </si>
  <si>
    <t>P10909</t>
  </si>
  <si>
    <t>CLUS_HUMAN</t>
  </si>
  <si>
    <t>Clusterin (Aging-associated gene 4 protein) (Apolipoprotein J) (Apo-J) (Complement cytolysis inhibitor) (CLI) (Complement-associated protein SP-40,40) (Ku70-binding protein 1) (NA1/NA2) (Sulfated glycoprotein 2) (SGP-2) (Testosterone-repressed prostate message 2) (TRPM-2) [Cleaved into: Clusterin beta chain (ApoJalpha) (Complement cytolysis inhibitor a chain) (SP-40,40 beta-chain); Clusterin alpha chain (ApoJbeta) (Complement cytolysis inhibitor b chain) (SP-40,40 alpha-chain)]</t>
  </si>
  <si>
    <t>BST1</t>
  </si>
  <si>
    <t>Q10588</t>
  </si>
  <si>
    <t>BST1_HUMAN</t>
  </si>
  <si>
    <t>ADP-ribosyl cyclase/cyclic ADP-ribose hydrolase 2 (EC 3.2.2.6) (ADP-ribosyl cyclase 2) (Bone marrow stromal cell antigen 1) (BST-1) (Cyclic ADP-ribose hydrolase 2) (cADPR hydrolase 2) (CD antigen CD157)</t>
  </si>
  <si>
    <t>CCL19</t>
  </si>
  <si>
    <t>Q99731</t>
  </si>
  <si>
    <t>CCL19_HUMAN</t>
  </si>
  <si>
    <t>C-C motif chemokine 19 (Beta-chemokine exodus-3) (CK beta-11) (Epstein-Barr virus-induced molecule 1 ligand chemokine) (EBI1 ligand chemokine) (ELC) (Macrophage inflammatory protein 3 beta) (MIP-3-beta) (Small-inducible cytokine A19)</t>
  </si>
  <si>
    <t>CER1</t>
  </si>
  <si>
    <t>O95813</t>
  </si>
  <si>
    <t>CER1_HUMAN</t>
  </si>
  <si>
    <t>Cerberus (Cerberus-related protein) (DAN domain family member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</si>
</sst>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3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2" fillId="0" borderId="0" xfId="0" applyFont="1"/>
    <xf numFmtId="0" fontId="0" fillId="2" borderId="0" xfId="0" applyFill="1"/>
    <xf numFmtId="1" fontId="0" fillId="2" borderId="0" xfId="0" applyNumberFormat="1" applyFill="1"/>
    <xf numFmtId="2" fontId="0" fillId="2" borderId="0" xfId="0" applyNumberFormat="1" applyFill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8"/>
  <sheetViews>
    <sheetView tabSelected="1" zoomScale="166" workbookViewId="0">
      <selection activeCell="F1" sqref="F1:F1048576"/>
    </sheetView>
  </sheetViews>
  <sheetFormatPr baseColWidth="10" defaultRowHeight="17" x14ac:dyDescent="0.2"/>
  <cols>
    <col min="1" max="1" width="6" customWidth="1"/>
    <col min="2" max="4" width="31.83203125" customWidth="1"/>
    <col min="5" max="5" width="31.83203125" style="8" customWidth="1"/>
    <col min="7" max="7" width="31.83203125" customWidth="1"/>
    <col min="8" max="8" width="10.6640625" customWidth="1"/>
    <col min="9" max="9" width="54" customWidth="1"/>
    <col min="10" max="10" width="10" customWidth="1"/>
    <col min="11" max="11" width="12.1640625" customWidth="1"/>
    <col min="12" max="12" width="6.6640625" customWidth="1"/>
    <col min="13" max="13" width="17.5" customWidth="1"/>
    <col min="14" max="14" width="12.1640625" customWidth="1"/>
    <col min="15" max="15" width="16.1640625" customWidth="1"/>
    <col min="16" max="16" width="13.5" customWidth="1"/>
    <col min="17" max="17" width="17.5" customWidth="1"/>
    <col min="18" max="18" width="13.5" customWidth="1"/>
    <col min="19" max="19" width="23" customWidth="1"/>
    <col min="20" max="20" width="16.1640625" customWidth="1"/>
    <col min="21" max="21" width="18.83203125" customWidth="1"/>
    <col min="22" max="22" width="13.5" customWidth="1"/>
    <col min="23" max="23" width="31" customWidth="1"/>
    <col min="24" max="24" width="17.5" customWidth="1"/>
    <col min="25" max="25" width="16.1640625" customWidth="1"/>
    <col min="26" max="26" width="8.1640625" customWidth="1"/>
    <col min="27" max="27" width="17.5" customWidth="1"/>
    <col min="28" max="28" width="21.6640625" customWidth="1"/>
    <col min="29" max="29" width="16.1640625" customWidth="1"/>
    <col min="30" max="30" width="40.5" customWidth="1"/>
  </cols>
  <sheetData>
    <row r="1" spans="1:35" ht="18" x14ac:dyDescent="0.2">
      <c r="B1" s="4" t="s">
        <v>186</v>
      </c>
      <c r="C1" s="4" t="s">
        <v>187</v>
      </c>
      <c r="D1" s="4"/>
      <c r="E1" s="8" t="s">
        <v>188</v>
      </c>
      <c r="F1" t="s">
        <v>190</v>
      </c>
      <c r="G1" s="4" t="s">
        <v>0</v>
      </c>
      <c r="H1" s="4" t="s">
        <v>185</v>
      </c>
      <c r="I1" s="1" t="s">
        <v>0</v>
      </c>
      <c r="J1" s="1" t="s">
        <v>75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t="s">
        <v>189</v>
      </c>
      <c r="AF1" t="s">
        <v>190</v>
      </c>
      <c r="AG1" t="s">
        <v>191</v>
      </c>
      <c r="AH1" t="s">
        <v>192</v>
      </c>
      <c r="AI1" t="s">
        <v>193</v>
      </c>
    </row>
    <row r="2" spans="1:35" ht="18" x14ac:dyDescent="0.2">
      <c r="A2" s="2">
        <v>8</v>
      </c>
      <c r="B2" s="2" t="s">
        <v>90</v>
      </c>
      <c r="C2" s="2" t="s">
        <v>91</v>
      </c>
      <c r="D2" s="2" t="str">
        <f>_xlfn.TEXTAFTER(C2, "h")</f>
        <v>GLHAx30x114</v>
      </c>
      <c r="E2" s="8" t="str">
        <f>_xlfn.TEXTBEFORE(D2, "x")</f>
        <v>GLHA</v>
      </c>
      <c r="F2" t="s">
        <v>195</v>
      </c>
      <c r="G2" s="2" t="s">
        <v>59</v>
      </c>
      <c r="H2" s="2">
        <v>85</v>
      </c>
      <c r="I2" t="s">
        <v>59</v>
      </c>
      <c r="J2">
        <f t="shared" ref="J2:J33" si="0">LEN(I2)</f>
        <v>85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6">
        <v>1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t="s">
        <v>194</v>
      </c>
      <c r="AF2" t="s">
        <v>195</v>
      </c>
      <c r="AG2" t="s">
        <v>196</v>
      </c>
      <c r="AH2" t="s">
        <v>197</v>
      </c>
      <c r="AI2" t="s">
        <v>198</v>
      </c>
    </row>
    <row r="3" spans="1:35" ht="18" x14ac:dyDescent="0.2">
      <c r="A3" s="2">
        <v>53</v>
      </c>
      <c r="B3" s="2" t="s">
        <v>180</v>
      </c>
      <c r="C3" s="2" t="s">
        <v>181</v>
      </c>
      <c r="D3" s="2" t="str">
        <f t="shared" ref="D3:D55" si="1">_xlfn.TEXTAFTER(C3, "h")</f>
        <v>CARTx76x116</v>
      </c>
      <c r="E3" s="8" t="str">
        <f t="shared" ref="E3:E55" si="2">_xlfn.TEXTBEFORE(D3, "x")</f>
        <v>CART</v>
      </c>
      <c r="F3" t="s">
        <v>200</v>
      </c>
      <c r="G3" s="2" t="s">
        <v>40</v>
      </c>
      <c r="H3" s="2">
        <v>41</v>
      </c>
      <c r="I3" t="s">
        <v>40</v>
      </c>
      <c r="J3">
        <f t="shared" si="0"/>
        <v>41</v>
      </c>
      <c r="K3" s="2">
        <v>0</v>
      </c>
      <c r="L3">
        <v>1E-3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>
        <v>0.755</v>
      </c>
      <c r="T3">
        <v>0.94299999999999995</v>
      </c>
      <c r="U3" s="6">
        <v>1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t="s">
        <v>199</v>
      </c>
      <c r="AF3" t="s">
        <v>200</v>
      </c>
      <c r="AG3" t="s">
        <v>201</v>
      </c>
      <c r="AH3" t="s">
        <v>202</v>
      </c>
      <c r="AI3" t="s">
        <v>203</v>
      </c>
    </row>
    <row r="4" spans="1:35" ht="18" x14ac:dyDescent="0.2">
      <c r="A4" s="2">
        <v>32</v>
      </c>
      <c r="B4" s="2" t="s">
        <v>138</v>
      </c>
      <c r="C4" s="2" t="s">
        <v>139</v>
      </c>
      <c r="D4" s="2" t="str">
        <f t="shared" si="1"/>
        <v>CBLN3x33x183</v>
      </c>
      <c r="E4" s="8" t="str">
        <f t="shared" si="2"/>
        <v>CBLN3</v>
      </c>
      <c r="F4" t="s">
        <v>204</v>
      </c>
      <c r="G4" s="2" t="s">
        <v>47</v>
      </c>
      <c r="H4" s="2">
        <v>151</v>
      </c>
      <c r="I4" t="s">
        <v>47</v>
      </c>
      <c r="J4">
        <f t="shared" si="0"/>
        <v>151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>
        <v>0.84499999999999997</v>
      </c>
      <c r="U4" s="5">
        <v>0.998</v>
      </c>
      <c r="V4" s="2">
        <v>0</v>
      </c>
      <c r="W4">
        <v>1E-3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t="s">
        <v>204</v>
      </c>
      <c r="AF4" t="s">
        <v>204</v>
      </c>
      <c r="AG4" t="s">
        <v>205</v>
      </c>
      <c r="AH4" t="s">
        <v>206</v>
      </c>
      <c r="AI4" t="s">
        <v>207</v>
      </c>
    </row>
    <row r="5" spans="1:35" ht="18" x14ac:dyDescent="0.2">
      <c r="A5" s="2">
        <v>38</v>
      </c>
      <c r="B5" s="2" t="s">
        <v>150</v>
      </c>
      <c r="C5" s="2" t="s">
        <v>151</v>
      </c>
      <c r="D5" s="2" t="str">
        <f t="shared" si="1"/>
        <v>CBLN1x22x107</v>
      </c>
      <c r="E5" s="8" t="str">
        <f t="shared" si="2"/>
        <v>CBLN1</v>
      </c>
      <c r="F5" t="s">
        <v>208</v>
      </c>
      <c r="G5" s="2" t="s">
        <v>43</v>
      </c>
      <c r="H5" s="2">
        <v>86</v>
      </c>
      <c r="I5" t="s">
        <v>43</v>
      </c>
      <c r="J5">
        <f t="shared" si="0"/>
        <v>86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>
        <v>1E-3</v>
      </c>
      <c r="T5" s="3">
        <v>0.31</v>
      </c>
      <c r="U5" s="5">
        <v>0.99099999999999999</v>
      </c>
      <c r="V5" s="2">
        <v>0</v>
      </c>
      <c r="W5">
        <v>1E-3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t="s">
        <v>208</v>
      </c>
      <c r="AF5" t="s">
        <v>208</v>
      </c>
      <c r="AG5" t="s">
        <v>209</v>
      </c>
      <c r="AH5" t="s">
        <v>210</v>
      </c>
      <c r="AI5" t="s">
        <v>211</v>
      </c>
    </row>
    <row r="6" spans="1:35" ht="18" x14ac:dyDescent="0.2">
      <c r="A6" s="2">
        <v>50</v>
      </c>
      <c r="B6" s="2" t="s">
        <v>174</v>
      </c>
      <c r="C6" s="2" t="s">
        <v>175</v>
      </c>
      <c r="D6" s="2" t="str">
        <f t="shared" si="1"/>
        <v>CMGAx342x390</v>
      </c>
      <c r="E6" s="8" t="str">
        <f t="shared" si="2"/>
        <v>CMGA</v>
      </c>
      <c r="F6" t="s">
        <v>213</v>
      </c>
      <c r="G6" s="2" t="s">
        <v>61</v>
      </c>
      <c r="H6" s="2">
        <v>49</v>
      </c>
      <c r="I6" t="s">
        <v>61</v>
      </c>
      <c r="J6">
        <f t="shared" si="0"/>
        <v>49</v>
      </c>
      <c r="K6" s="2">
        <v>0</v>
      </c>
      <c r="L6" s="2">
        <v>0</v>
      </c>
      <c r="M6">
        <v>6.9000000000000006E-2</v>
      </c>
      <c r="N6">
        <v>4.0000000000000001E-3</v>
      </c>
      <c r="O6" s="2">
        <v>0</v>
      </c>
      <c r="P6">
        <v>1E-3</v>
      </c>
      <c r="Q6">
        <v>0.246</v>
      </c>
      <c r="R6">
        <v>2.7E-2</v>
      </c>
      <c r="S6">
        <v>0.503</v>
      </c>
      <c r="T6">
        <v>0.83299999999999996</v>
      </c>
      <c r="U6" s="7">
        <v>0.98</v>
      </c>
      <c r="V6" s="2">
        <v>0</v>
      </c>
      <c r="W6">
        <v>1.7999999999999999E-2</v>
      </c>
      <c r="X6">
        <v>6.0000000000000001E-3</v>
      </c>
      <c r="Y6">
        <v>1E-3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t="s">
        <v>212</v>
      </c>
      <c r="AF6" t="s">
        <v>213</v>
      </c>
      <c r="AG6" t="s">
        <v>214</v>
      </c>
      <c r="AH6" t="s">
        <v>215</v>
      </c>
      <c r="AI6" t="s">
        <v>216</v>
      </c>
    </row>
    <row r="7" spans="1:35" ht="18" x14ac:dyDescent="0.2">
      <c r="A7" s="2">
        <v>12</v>
      </c>
      <c r="B7" s="2" t="s">
        <v>98</v>
      </c>
      <c r="C7" s="2" t="s">
        <v>99</v>
      </c>
      <c r="D7" s="2" t="str">
        <f t="shared" si="1"/>
        <v>CMGAx420x454</v>
      </c>
      <c r="E7" s="8" t="str">
        <f t="shared" si="2"/>
        <v>CMGA</v>
      </c>
      <c r="F7" t="s">
        <v>213</v>
      </c>
      <c r="G7" s="2" t="s">
        <v>63</v>
      </c>
      <c r="H7" s="2">
        <v>35</v>
      </c>
      <c r="I7" t="s">
        <v>63</v>
      </c>
      <c r="J7">
        <f t="shared" si="0"/>
        <v>35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>
        <v>0.86399999999999999</v>
      </c>
      <c r="T7">
        <v>0.996</v>
      </c>
      <c r="U7" s="5">
        <v>0.95099999999999996</v>
      </c>
      <c r="V7" s="2">
        <v>0</v>
      </c>
      <c r="W7">
        <v>6.0000000000000001E-3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t="s">
        <v>212</v>
      </c>
      <c r="AF7" t="s">
        <v>213</v>
      </c>
      <c r="AG7" t="s">
        <v>214</v>
      </c>
      <c r="AH7" t="s">
        <v>215</v>
      </c>
      <c r="AI7" t="s">
        <v>216</v>
      </c>
    </row>
    <row r="8" spans="1:35" ht="18" x14ac:dyDescent="0.2">
      <c r="A8" s="2">
        <v>29</v>
      </c>
      <c r="B8" s="2" t="s">
        <v>132</v>
      </c>
      <c r="C8" s="2" t="s">
        <v>133</v>
      </c>
      <c r="D8" s="2" t="str">
        <f t="shared" si="1"/>
        <v>CARTx28x73</v>
      </c>
      <c r="E8" s="8" t="str">
        <f t="shared" si="2"/>
        <v>CART</v>
      </c>
      <c r="F8" t="s">
        <v>200</v>
      </c>
      <c r="G8" s="2" t="s">
        <v>38</v>
      </c>
      <c r="H8" s="2">
        <v>46</v>
      </c>
      <c r="I8" t="s">
        <v>38</v>
      </c>
      <c r="J8">
        <f t="shared" si="0"/>
        <v>46</v>
      </c>
      <c r="K8" s="2">
        <v>0</v>
      </c>
      <c r="L8" s="2">
        <v>0</v>
      </c>
      <c r="M8">
        <v>1E-3</v>
      </c>
      <c r="N8" s="2">
        <v>0</v>
      </c>
      <c r="O8" s="2">
        <v>0</v>
      </c>
      <c r="P8" s="2">
        <v>0</v>
      </c>
      <c r="Q8">
        <v>1E-3</v>
      </c>
      <c r="R8">
        <v>1E-3</v>
      </c>
      <c r="S8">
        <v>0.112</v>
      </c>
      <c r="T8">
        <v>0.88600000000000001</v>
      </c>
      <c r="U8" s="7">
        <v>0.95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t="s">
        <v>199</v>
      </c>
      <c r="AF8" t="s">
        <v>200</v>
      </c>
      <c r="AG8" t="s">
        <v>201</v>
      </c>
      <c r="AH8" t="s">
        <v>202</v>
      </c>
      <c r="AI8" t="s">
        <v>203</v>
      </c>
    </row>
    <row r="9" spans="1:35" ht="18" x14ac:dyDescent="0.2">
      <c r="A9" s="2">
        <v>26</v>
      </c>
      <c r="B9" s="2" t="s">
        <v>126</v>
      </c>
      <c r="C9" s="2" t="s">
        <v>127</v>
      </c>
      <c r="D9" s="2" t="str">
        <f t="shared" si="1"/>
        <v>CMGAx19x94</v>
      </c>
      <c r="E9" s="8" t="str">
        <f t="shared" si="2"/>
        <v>CMGA</v>
      </c>
      <c r="F9" t="s">
        <v>213</v>
      </c>
      <c r="G9" s="2" t="s">
        <v>60</v>
      </c>
      <c r="H9" s="2">
        <v>76</v>
      </c>
      <c r="I9" t="s">
        <v>60</v>
      </c>
      <c r="J9">
        <f t="shared" si="0"/>
        <v>76</v>
      </c>
      <c r="K9" s="2">
        <v>0</v>
      </c>
      <c r="L9" s="2">
        <v>0</v>
      </c>
      <c r="M9">
        <v>0.182</v>
      </c>
      <c r="N9">
        <v>2.7E-2</v>
      </c>
      <c r="O9">
        <v>1E-3</v>
      </c>
      <c r="P9">
        <v>7.0000000000000001E-3</v>
      </c>
      <c r="Q9" s="3">
        <v>0.42</v>
      </c>
      <c r="R9">
        <v>0.214</v>
      </c>
      <c r="S9" s="2">
        <v>0</v>
      </c>
      <c r="T9">
        <v>0.85799999999999998</v>
      </c>
      <c r="U9" s="5">
        <v>0.93200000000000005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t="s">
        <v>212</v>
      </c>
      <c r="AF9" t="s">
        <v>213</v>
      </c>
      <c r="AG9" t="s">
        <v>214</v>
      </c>
      <c r="AH9" t="s">
        <v>215</v>
      </c>
      <c r="AI9" t="s">
        <v>216</v>
      </c>
    </row>
    <row r="10" spans="1:35" ht="18" x14ac:dyDescent="0.2">
      <c r="A10" s="2">
        <v>19</v>
      </c>
      <c r="B10" s="2" t="s">
        <v>112</v>
      </c>
      <c r="C10" s="2" t="s">
        <v>113</v>
      </c>
      <c r="D10" s="2" t="str">
        <f t="shared" si="1"/>
        <v>CMGAx393x417</v>
      </c>
      <c r="E10" s="8" t="str">
        <f t="shared" si="2"/>
        <v>CMGA</v>
      </c>
      <c r="F10" t="s">
        <v>213</v>
      </c>
      <c r="G10" s="2" t="s">
        <v>62</v>
      </c>
      <c r="H10" s="2">
        <v>25</v>
      </c>
      <c r="I10" t="s">
        <v>62</v>
      </c>
      <c r="J10">
        <f t="shared" si="0"/>
        <v>25</v>
      </c>
      <c r="K10" s="2">
        <v>0</v>
      </c>
      <c r="L10">
        <v>1E-3</v>
      </c>
      <c r="M10">
        <v>3.5999999999999997E-2</v>
      </c>
      <c r="N10" s="3">
        <v>0.02</v>
      </c>
      <c r="O10" s="2">
        <v>0</v>
      </c>
      <c r="P10">
        <v>1E-3</v>
      </c>
      <c r="Q10">
        <v>3.5999999999999997E-2</v>
      </c>
      <c r="R10">
        <v>8.0000000000000002E-3</v>
      </c>
      <c r="S10">
        <v>0.439</v>
      </c>
      <c r="T10" s="3">
        <v>0.74</v>
      </c>
      <c r="U10" s="5">
        <v>0.88500000000000001</v>
      </c>
      <c r="V10" s="2">
        <v>0</v>
      </c>
      <c r="W10">
        <v>0.13900000000000001</v>
      </c>
      <c r="X10">
        <v>4.0000000000000001E-3</v>
      </c>
      <c r="Y10">
        <v>6.0000000000000001E-3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t="s">
        <v>212</v>
      </c>
      <c r="AF10" t="s">
        <v>213</v>
      </c>
      <c r="AG10" t="s">
        <v>214</v>
      </c>
      <c r="AH10" t="s">
        <v>215</v>
      </c>
      <c r="AI10" t="s">
        <v>216</v>
      </c>
    </row>
    <row r="11" spans="1:35" ht="18" x14ac:dyDescent="0.2">
      <c r="A11" s="2">
        <v>10</v>
      </c>
      <c r="B11" s="2" t="s">
        <v>94</v>
      </c>
      <c r="C11" s="2" t="s">
        <v>95</v>
      </c>
      <c r="D11" s="2" t="str">
        <f t="shared" si="1"/>
        <v>SCG1x540x585</v>
      </c>
      <c r="E11" s="8" t="str">
        <f t="shared" si="2"/>
        <v>SCG1</v>
      </c>
      <c r="F11" t="s">
        <v>218</v>
      </c>
      <c r="G11" s="2" t="s">
        <v>65</v>
      </c>
      <c r="H11" s="2">
        <v>46</v>
      </c>
      <c r="I11" t="s">
        <v>65</v>
      </c>
      <c r="J11">
        <f t="shared" si="0"/>
        <v>46</v>
      </c>
      <c r="K11" s="2">
        <v>0</v>
      </c>
      <c r="L11">
        <v>3.0000000000000001E-3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>
        <v>0.54700000000000004</v>
      </c>
      <c r="U11" s="5">
        <v>0.82699999999999996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t="s">
        <v>217</v>
      </c>
      <c r="AF11" t="s">
        <v>218</v>
      </c>
      <c r="AG11" t="s">
        <v>219</v>
      </c>
      <c r="AH11" t="s">
        <v>220</v>
      </c>
      <c r="AI11" t="s">
        <v>221</v>
      </c>
    </row>
    <row r="12" spans="1:35" ht="18" x14ac:dyDescent="0.2">
      <c r="A12" s="2">
        <v>39</v>
      </c>
      <c r="B12" s="2" t="s">
        <v>152</v>
      </c>
      <c r="C12" s="2" t="s">
        <v>153</v>
      </c>
      <c r="D12" s="2" t="str">
        <f t="shared" si="1"/>
        <v>SCG1x600x613</v>
      </c>
      <c r="E12" s="8" t="str">
        <f t="shared" si="2"/>
        <v>SCG1</v>
      </c>
      <c r="F12" t="s">
        <v>218</v>
      </c>
      <c r="G12" s="2" t="s">
        <v>67</v>
      </c>
      <c r="H12" s="2">
        <v>14</v>
      </c>
      <c r="I12" t="s">
        <v>67</v>
      </c>
      <c r="J12">
        <f t="shared" si="0"/>
        <v>14</v>
      </c>
      <c r="K12" s="2">
        <v>0</v>
      </c>
      <c r="L12" s="2">
        <v>0</v>
      </c>
      <c r="M12">
        <v>9.6000000000000002E-2</v>
      </c>
      <c r="N12">
        <v>2E-3</v>
      </c>
      <c r="O12" s="2">
        <v>0</v>
      </c>
      <c r="P12" s="2">
        <v>0</v>
      </c>
      <c r="Q12" s="3">
        <v>0.01</v>
      </c>
      <c r="R12">
        <v>3.0000000000000001E-3</v>
      </c>
      <c r="S12">
        <v>0.66100000000000003</v>
      </c>
      <c r="T12">
        <v>0.80300000000000005</v>
      </c>
      <c r="U12" s="5">
        <v>0.82099999999999995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t="s">
        <v>217</v>
      </c>
      <c r="AF12" t="s">
        <v>218</v>
      </c>
      <c r="AG12" t="s">
        <v>219</v>
      </c>
      <c r="AH12" t="s">
        <v>220</v>
      </c>
      <c r="AI12" t="s">
        <v>221</v>
      </c>
    </row>
    <row r="13" spans="1:35" ht="18" x14ac:dyDescent="0.2">
      <c r="A13" s="2">
        <v>52</v>
      </c>
      <c r="B13" s="2" t="s">
        <v>178</v>
      </c>
      <c r="C13" s="2" t="s">
        <v>179</v>
      </c>
      <c r="D13" s="2" t="str">
        <f t="shared" si="1"/>
        <v>CARTx76x90</v>
      </c>
      <c r="E13" s="8" t="str">
        <f t="shared" si="2"/>
        <v>CART</v>
      </c>
      <c r="F13" t="s">
        <v>200</v>
      </c>
      <c r="G13" s="2" t="s">
        <v>39</v>
      </c>
      <c r="H13" s="2">
        <v>15</v>
      </c>
      <c r="I13" t="s">
        <v>39</v>
      </c>
      <c r="J13">
        <f t="shared" si="0"/>
        <v>15</v>
      </c>
      <c r="K13" s="2">
        <v>0</v>
      </c>
      <c r="L13">
        <v>1E-3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>
        <v>2.4E-2</v>
      </c>
      <c r="T13">
        <v>0.55300000000000005</v>
      </c>
      <c r="U13" s="5">
        <v>0.81299999999999994</v>
      </c>
      <c r="V13" s="2">
        <v>0</v>
      </c>
      <c r="W13" s="2">
        <v>0</v>
      </c>
      <c r="X13">
        <v>3.0000000000000001E-3</v>
      </c>
      <c r="Y13">
        <v>3.0000000000000001E-3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t="s">
        <v>199</v>
      </c>
      <c r="AF13" t="s">
        <v>200</v>
      </c>
      <c r="AG13" t="s">
        <v>201</v>
      </c>
      <c r="AH13" t="s">
        <v>202</v>
      </c>
      <c r="AI13" t="s">
        <v>203</v>
      </c>
    </row>
    <row r="14" spans="1:35" ht="18" x14ac:dyDescent="0.2">
      <c r="A14" s="2">
        <v>35</v>
      </c>
      <c r="B14" s="2" t="s">
        <v>144</v>
      </c>
      <c r="C14" s="2" t="s">
        <v>145</v>
      </c>
      <c r="D14" s="2" t="str">
        <f t="shared" si="1"/>
        <v>CBLN4x28x115</v>
      </c>
      <c r="E14" s="8" t="str">
        <f t="shared" si="2"/>
        <v>CBLN4</v>
      </c>
      <c r="F14" t="s">
        <v>222</v>
      </c>
      <c r="G14" s="2" t="s">
        <v>49</v>
      </c>
      <c r="H14" s="2">
        <v>88</v>
      </c>
      <c r="I14" t="s">
        <v>49</v>
      </c>
      <c r="J14">
        <f t="shared" si="0"/>
        <v>88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>
        <v>4.0000000000000001E-3</v>
      </c>
      <c r="T14">
        <v>0.53200000000000003</v>
      </c>
      <c r="U14" s="5">
        <v>0.77800000000000002</v>
      </c>
      <c r="V14" s="2">
        <v>0</v>
      </c>
      <c r="W14">
        <v>1E-3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t="s">
        <v>222</v>
      </c>
      <c r="AF14" t="s">
        <v>222</v>
      </c>
      <c r="AG14" t="s">
        <v>223</v>
      </c>
      <c r="AH14" t="s">
        <v>224</v>
      </c>
      <c r="AI14" t="s">
        <v>225</v>
      </c>
    </row>
    <row r="15" spans="1:35" ht="18" x14ac:dyDescent="0.2">
      <c r="A15" s="2">
        <v>3</v>
      </c>
      <c r="B15" s="2" t="s">
        <v>80</v>
      </c>
      <c r="C15" s="2" t="s">
        <v>81</v>
      </c>
      <c r="D15" s="2" t="str">
        <f t="shared" si="1"/>
        <v>BRNP3x34x92</v>
      </c>
      <c r="E15" s="8" t="str">
        <f t="shared" si="2"/>
        <v>BRNP3</v>
      </c>
      <c r="F15" t="s">
        <v>227</v>
      </c>
      <c r="G15" s="2" t="s">
        <v>23</v>
      </c>
      <c r="H15" s="2">
        <v>59</v>
      </c>
      <c r="I15" t="s">
        <v>23</v>
      </c>
      <c r="J15">
        <f t="shared" si="0"/>
        <v>59</v>
      </c>
      <c r="K15" s="2">
        <v>0</v>
      </c>
      <c r="L15" s="2">
        <v>0</v>
      </c>
      <c r="M15">
        <v>0.112</v>
      </c>
      <c r="N15">
        <v>3.0000000000000001E-3</v>
      </c>
      <c r="O15" s="2">
        <v>0</v>
      </c>
      <c r="P15">
        <v>1E-3</v>
      </c>
      <c r="Q15">
        <v>4.4999999999999998E-2</v>
      </c>
      <c r="R15">
        <v>8.0000000000000002E-3</v>
      </c>
      <c r="S15" s="2">
        <v>0</v>
      </c>
      <c r="T15">
        <v>5.1999999999999998E-2</v>
      </c>
      <c r="U15" s="5">
        <v>0.68700000000000006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t="s">
        <v>226</v>
      </c>
      <c r="AF15" t="s">
        <v>227</v>
      </c>
      <c r="AG15" t="s">
        <v>228</v>
      </c>
      <c r="AH15" t="s">
        <v>229</v>
      </c>
      <c r="AI15" t="s">
        <v>230</v>
      </c>
    </row>
    <row r="16" spans="1:35" ht="18" x14ac:dyDescent="0.2">
      <c r="A16" s="2">
        <v>36</v>
      </c>
      <c r="B16" s="2" t="s">
        <v>146</v>
      </c>
      <c r="C16" s="2" t="s">
        <v>147</v>
      </c>
      <c r="D16" s="2" t="str">
        <f t="shared" si="1"/>
        <v>CBLN2x52x138</v>
      </c>
      <c r="E16" s="8" t="str">
        <f t="shared" si="2"/>
        <v>CBLN2</v>
      </c>
      <c r="F16" t="s">
        <v>231</v>
      </c>
      <c r="G16" s="2" t="s">
        <v>45</v>
      </c>
      <c r="H16" s="2">
        <v>87</v>
      </c>
      <c r="I16" t="s">
        <v>45</v>
      </c>
      <c r="J16">
        <f t="shared" si="0"/>
        <v>87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>
        <v>4.0000000000000001E-3</v>
      </c>
      <c r="T16">
        <v>0.64300000000000002</v>
      </c>
      <c r="U16" s="5">
        <v>0.63500000000000001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t="s">
        <v>231</v>
      </c>
      <c r="AF16" t="s">
        <v>231</v>
      </c>
      <c r="AG16" t="s">
        <v>232</v>
      </c>
      <c r="AH16" t="s">
        <v>233</v>
      </c>
      <c r="AI16" t="s">
        <v>234</v>
      </c>
    </row>
    <row r="17" spans="1:35" ht="18" x14ac:dyDescent="0.2">
      <c r="A17" s="2">
        <v>41</v>
      </c>
      <c r="B17" s="2" t="s">
        <v>156</v>
      </c>
      <c r="C17" s="2" t="s">
        <v>157</v>
      </c>
      <c r="D17" s="2" t="str">
        <f t="shared" si="1"/>
        <v>SCG1x617x652</v>
      </c>
      <c r="E17" s="8" t="str">
        <f t="shared" si="2"/>
        <v>SCG1</v>
      </c>
      <c r="F17" t="s">
        <v>218</v>
      </c>
      <c r="G17" s="2" t="s">
        <v>68</v>
      </c>
      <c r="H17" s="2">
        <v>36</v>
      </c>
      <c r="I17" t="s">
        <v>68</v>
      </c>
      <c r="J17">
        <f t="shared" si="0"/>
        <v>36</v>
      </c>
      <c r="K17" s="2">
        <v>0</v>
      </c>
      <c r="L17" s="2">
        <v>0</v>
      </c>
      <c r="M17" s="2">
        <v>0</v>
      </c>
      <c r="N17">
        <v>1E-3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>
        <v>0.98299999999999998</v>
      </c>
      <c r="U17" s="5">
        <v>0.58699999999999997</v>
      </c>
      <c r="V17" s="2">
        <v>0</v>
      </c>
      <c r="W17">
        <v>3.0000000000000001E-3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t="s">
        <v>217</v>
      </c>
      <c r="AF17" t="s">
        <v>218</v>
      </c>
      <c r="AG17" t="s">
        <v>219</v>
      </c>
      <c r="AH17" t="s">
        <v>220</v>
      </c>
      <c r="AI17" t="s">
        <v>221</v>
      </c>
    </row>
    <row r="18" spans="1:35" ht="18" x14ac:dyDescent="0.2">
      <c r="A18" s="2">
        <v>13</v>
      </c>
      <c r="B18" s="2" t="s">
        <v>100</v>
      </c>
      <c r="C18" s="2" t="s">
        <v>101</v>
      </c>
      <c r="D18" s="2" t="str">
        <f t="shared" si="1"/>
        <v>SCG1x655x677</v>
      </c>
      <c r="E18" s="8" t="str">
        <f t="shared" si="2"/>
        <v>SCG1</v>
      </c>
      <c r="F18" t="s">
        <v>218</v>
      </c>
      <c r="G18" s="2" t="s">
        <v>69</v>
      </c>
      <c r="H18" s="2">
        <v>23</v>
      </c>
      <c r="I18" t="s">
        <v>69</v>
      </c>
      <c r="J18">
        <f t="shared" si="0"/>
        <v>23</v>
      </c>
      <c r="K18" s="2">
        <v>0</v>
      </c>
      <c r="L18">
        <v>1E-3</v>
      </c>
      <c r="M18">
        <v>0.23400000000000001</v>
      </c>
      <c r="N18">
        <v>1.2E-2</v>
      </c>
      <c r="O18" s="2">
        <v>0</v>
      </c>
      <c r="P18">
        <v>7.0000000000000001E-3</v>
      </c>
      <c r="Q18">
        <v>0.36199999999999999</v>
      </c>
      <c r="R18">
        <v>4.5999999999999999E-2</v>
      </c>
      <c r="S18">
        <v>3.0000000000000001E-3</v>
      </c>
      <c r="T18" s="5">
        <v>0.98499999999999999</v>
      </c>
      <c r="U18">
        <v>0.34699999999999998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t="s">
        <v>217</v>
      </c>
      <c r="AF18" t="s">
        <v>218</v>
      </c>
      <c r="AG18" t="s">
        <v>219</v>
      </c>
      <c r="AH18" t="s">
        <v>220</v>
      </c>
      <c r="AI18" t="s">
        <v>221</v>
      </c>
    </row>
    <row r="19" spans="1:35" ht="18" x14ac:dyDescent="0.2">
      <c r="A19" s="2">
        <v>7</v>
      </c>
      <c r="B19" s="2" t="s">
        <v>88</v>
      </c>
      <c r="C19" s="2" t="s">
        <v>89</v>
      </c>
      <c r="D19" s="2" t="str">
        <f t="shared" si="1"/>
        <v>CHSS2x748x775</v>
      </c>
      <c r="E19" s="8" t="str">
        <f t="shared" si="2"/>
        <v>CHSS2</v>
      </c>
      <c r="F19" t="s">
        <v>236</v>
      </c>
      <c r="G19" s="2" t="s">
        <v>71</v>
      </c>
      <c r="H19" s="2">
        <v>28</v>
      </c>
      <c r="I19" t="s">
        <v>71</v>
      </c>
      <c r="J19">
        <f t="shared" si="0"/>
        <v>28</v>
      </c>
      <c r="K19" s="2">
        <v>0</v>
      </c>
      <c r="L19" s="2">
        <v>0</v>
      </c>
      <c r="M19">
        <v>8.3000000000000004E-2</v>
      </c>
      <c r="N19">
        <v>7.0000000000000001E-3</v>
      </c>
      <c r="O19" s="2">
        <v>0</v>
      </c>
      <c r="P19" s="2">
        <v>0</v>
      </c>
      <c r="Q19">
        <v>1E-3</v>
      </c>
      <c r="R19">
        <v>2E-3</v>
      </c>
      <c r="S19" s="2">
        <v>0</v>
      </c>
      <c r="T19">
        <v>6.0000000000000001E-3</v>
      </c>
      <c r="U19">
        <v>0.34399999999999997</v>
      </c>
      <c r="V19" s="2">
        <v>0</v>
      </c>
      <c r="W19" s="5">
        <v>0.42299999999999999</v>
      </c>
      <c r="X19">
        <v>4.7E-2</v>
      </c>
      <c r="Y19">
        <v>2E-3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t="s">
        <v>235</v>
      </c>
      <c r="AF19" t="s">
        <v>236</v>
      </c>
      <c r="AG19" t="s">
        <v>237</v>
      </c>
      <c r="AH19" t="s">
        <v>238</v>
      </c>
      <c r="AI19" t="s">
        <v>239</v>
      </c>
    </row>
    <row r="20" spans="1:35" ht="18" x14ac:dyDescent="0.2">
      <c r="A20" s="2">
        <v>31</v>
      </c>
      <c r="B20" s="2" t="s">
        <v>136</v>
      </c>
      <c r="C20" s="2" t="s">
        <v>137</v>
      </c>
      <c r="D20" s="2" t="str">
        <f t="shared" si="1"/>
        <v>CBLN3x33x44</v>
      </c>
      <c r="E20" s="8" t="str">
        <f t="shared" si="2"/>
        <v>CBLN3</v>
      </c>
      <c r="F20" t="s">
        <v>204</v>
      </c>
      <c r="G20" s="2" t="s">
        <v>46</v>
      </c>
      <c r="H20" s="2">
        <v>12</v>
      </c>
      <c r="I20" t="s">
        <v>46</v>
      </c>
      <c r="J20">
        <f t="shared" si="0"/>
        <v>12</v>
      </c>
      <c r="K20" s="2">
        <v>0</v>
      </c>
      <c r="L20" s="2">
        <v>0</v>
      </c>
      <c r="M20">
        <v>3.5999999999999997E-2</v>
      </c>
      <c r="N20">
        <v>1.9E-2</v>
      </c>
      <c r="O20" s="2">
        <v>0</v>
      </c>
      <c r="P20" s="2">
        <v>0</v>
      </c>
      <c r="Q20">
        <v>2E-3</v>
      </c>
      <c r="R20">
        <v>6.0000000000000001E-3</v>
      </c>
      <c r="S20" s="2">
        <v>0</v>
      </c>
      <c r="T20" s="3">
        <v>0.42</v>
      </c>
      <c r="U20">
        <v>0.32100000000000001</v>
      </c>
      <c r="V20" s="2">
        <v>0</v>
      </c>
      <c r="W20">
        <v>1E-3</v>
      </c>
      <c r="X20">
        <v>1E-3</v>
      </c>
      <c r="Y20" s="2">
        <v>0</v>
      </c>
      <c r="Z20" s="2">
        <v>0</v>
      </c>
      <c r="AA20" s="2">
        <v>0</v>
      </c>
      <c r="AB20">
        <v>3.4000000000000002E-2</v>
      </c>
      <c r="AC20">
        <v>7.0000000000000001E-3</v>
      </c>
      <c r="AD20" s="2">
        <v>0</v>
      </c>
      <c r="AE20" t="s">
        <v>204</v>
      </c>
      <c r="AF20" t="s">
        <v>204</v>
      </c>
      <c r="AG20" t="s">
        <v>205</v>
      </c>
      <c r="AH20" t="s">
        <v>206</v>
      </c>
      <c r="AI20" t="s">
        <v>207</v>
      </c>
    </row>
    <row r="21" spans="1:35" ht="18" x14ac:dyDescent="0.2">
      <c r="A21" s="2">
        <v>21</v>
      </c>
      <c r="B21" s="2" t="s">
        <v>116</v>
      </c>
      <c r="C21" s="2" t="s">
        <v>117</v>
      </c>
      <c r="D21" s="2" t="str">
        <f t="shared" si="1"/>
        <v>C1QL3x21x133</v>
      </c>
      <c r="E21" s="8" t="str">
        <f t="shared" si="2"/>
        <v>C1QL3</v>
      </c>
      <c r="F21" t="s">
        <v>240</v>
      </c>
      <c r="G21" s="2" t="s">
        <v>34</v>
      </c>
      <c r="H21" s="2">
        <v>113</v>
      </c>
      <c r="I21" t="s">
        <v>34</v>
      </c>
      <c r="J21">
        <f t="shared" si="0"/>
        <v>113</v>
      </c>
      <c r="K21" s="2">
        <v>0</v>
      </c>
      <c r="L21" s="2">
        <v>0</v>
      </c>
      <c r="M21">
        <v>0.38300000000000001</v>
      </c>
      <c r="N21" s="3">
        <v>0.02</v>
      </c>
      <c r="O21">
        <v>7.0000000000000001E-3</v>
      </c>
      <c r="P21">
        <v>3.0000000000000001E-3</v>
      </c>
      <c r="Q21">
        <v>0.38100000000000001</v>
      </c>
      <c r="R21">
        <v>7.0999999999999994E-2</v>
      </c>
      <c r="S21" s="2">
        <v>0</v>
      </c>
      <c r="T21">
        <v>4.0000000000000001E-3</v>
      </c>
      <c r="U21">
        <v>0.311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t="s">
        <v>240</v>
      </c>
      <c r="AF21" t="s">
        <v>240</v>
      </c>
      <c r="AG21" t="s">
        <v>241</v>
      </c>
      <c r="AH21" t="s">
        <v>242</v>
      </c>
      <c r="AI21" t="s">
        <v>243</v>
      </c>
    </row>
    <row r="22" spans="1:35" ht="18" x14ac:dyDescent="0.2">
      <c r="A22" s="2">
        <v>34</v>
      </c>
      <c r="B22" s="2" t="s">
        <v>142</v>
      </c>
      <c r="C22" s="2" t="s">
        <v>143</v>
      </c>
      <c r="D22" s="2" t="str">
        <f t="shared" si="1"/>
        <v>CBLN4x28x39</v>
      </c>
      <c r="E22" s="8" t="str">
        <f t="shared" si="2"/>
        <v>CBLN4</v>
      </c>
      <c r="F22" t="s">
        <v>222</v>
      </c>
      <c r="G22" s="2" t="s">
        <v>48</v>
      </c>
      <c r="H22" s="2">
        <v>12</v>
      </c>
      <c r="I22" t="s">
        <v>48</v>
      </c>
      <c r="J22">
        <f t="shared" si="0"/>
        <v>12</v>
      </c>
      <c r="K22" s="2">
        <v>0</v>
      </c>
      <c r="L22" s="2">
        <v>0</v>
      </c>
      <c r="M22">
        <v>1E-3</v>
      </c>
      <c r="N22">
        <v>6.3E-2</v>
      </c>
      <c r="O22" s="2">
        <v>0</v>
      </c>
      <c r="P22" s="2">
        <v>0</v>
      </c>
      <c r="Q22" s="2">
        <v>0</v>
      </c>
      <c r="R22">
        <v>1E-3</v>
      </c>
      <c r="S22">
        <v>8.9999999999999993E-3</v>
      </c>
      <c r="T22">
        <v>0.182</v>
      </c>
      <c r="U22" s="3">
        <v>0.31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>
        <v>1.2E-2</v>
      </c>
      <c r="AB22">
        <v>0.22500000000000001</v>
      </c>
      <c r="AC22">
        <v>5.0000000000000001E-3</v>
      </c>
      <c r="AD22" s="2">
        <v>0</v>
      </c>
      <c r="AE22" t="s">
        <v>222</v>
      </c>
      <c r="AF22" t="s">
        <v>222</v>
      </c>
      <c r="AG22" t="s">
        <v>223</v>
      </c>
      <c r="AH22" t="s">
        <v>224</v>
      </c>
      <c r="AI22" t="s">
        <v>225</v>
      </c>
    </row>
    <row r="23" spans="1:35" ht="18" x14ac:dyDescent="0.2">
      <c r="A23" s="2">
        <v>33</v>
      </c>
      <c r="B23" s="2" t="s">
        <v>140</v>
      </c>
      <c r="C23" s="2" t="s">
        <v>141</v>
      </c>
      <c r="D23" s="2" t="str">
        <f t="shared" si="1"/>
        <v>CBLN2x52x62</v>
      </c>
      <c r="E23" s="8" t="str">
        <f t="shared" si="2"/>
        <v>CBLN2</v>
      </c>
      <c r="F23" t="s">
        <v>231</v>
      </c>
      <c r="G23" s="2" t="s">
        <v>44</v>
      </c>
      <c r="H23" s="2">
        <v>11</v>
      </c>
      <c r="I23" t="s">
        <v>44</v>
      </c>
      <c r="J23">
        <f t="shared" si="0"/>
        <v>11</v>
      </c>
      <c r="K23" s="2">
        <v>0</v>
      </c>
      <c r="L23" s="2">
        <v>0</v>
      </c>
      <c r="M23">
        <v>5.0000000000000001E-3</v>
      </c>
      <c r="N23">
        <v>0.107</v>
      </c>
      <c r="O23" s="2">
        <v>0</v>
      </c>
      <c r="P23">
        <v>1E-3</v>
      </c>
      <c r="Q23" s="2">
        <v>0</v>
      </c>
      <c r="R23">
        <v>2E-3</v>
      </c>
      <c r="S23">
        <v>5.0000000000000001E-3</v>
      </c>
      <c r="T23">
        <v>0.34699999999999998</v>
      </c>
      <c r="U23">
        <v>0.28100000000000003</v>
      </c>
      <c r="V23" s="2">
        <v>0</v>
      </c>
      <c r="W23" s="2">
        <v>0</v>
      </c>
      <c r="X23">
        <v>1E-3</v>
      </c>
      <c r="Y23" s="2">
        <v>0</v>
      </c>
      <c r="Z23" s="2">
        <v>0</v>
      </c>
      <c r="AA23">
        <v>5.8999999999999997E-2</v>
      </c>
      <c r="AB23">
        <v>0.49199999999999999</v>
      </c>
      <c r="AC23">
        <v>4.9000000000000002E-2</v>
      </c>
      <c r="AD23" s="2">
        <v>0</v>
      </c>
      <c r="AE23" t="s">
        <v>231</v>
      </c>
      <c r="AF23" t="s">
        <v>231</v>
      </c>
      <c r="AG23" t="s">
        <v>232</v>
      </c>
      <c r="AH23" t="s">
        <v>233</v>
      </c>
      <c r="AI23" t="s">
        <v>234</v>
      </c>
    </row>
    <row r="24" spans="1:35" ht="18" x14ac:dyDescent="0.2">
      <c r="A24" s="2">
        <v>4</v>
      </c>
      <c r="B24" s="2" t="s">
        <v>82</v>
      </c>
      <c r="C24" s="2" t="s">
        <v>83</v>
      </c>
      <c r="D24" s="2" t="str">
        <f t="shared" si="1"/>
        <v>BRNP3x383x505</v>
      </c>
      <c r="E24" s="8" t="str">
        <f t="shared" si="2"/>
        <v>BRNP3</v>
      </c>
      <c r="F24" t="s">
        <v>227</v>
      </c>
      <c r="G24" s="2" t="s">
        <v>27</v>
      </c>
      <c r="H24" s="2">
        <v>123</v>
      </c>
      <c r="I24" t="s">
        <v>27</v>
      </c>
      <c r="J24">
        <f t="shared" si="0"/>
        <v>123</v>
      </c>
      <c r="K24" s="2">
        <v>0</v>
      </c>
      <c r="L24">
        <v>2E-3</v>
      </c>
      <c r="M24" s="3">
        <v>0.11</v>
      </c>
      <c r="N24">
        <v>2.4E-2</v>
      </c>
      <c r="O24">
        <v>1E-3</v>
      </c>
      <c r="P24">
        <v>3.0000000000000001E-3</v>
      </c>
      <c r="Q24">
        <v>3.5000000000000003E-2</v>
      </c>
      <c r="R24" s="3">
        <v>0.03</v>
      </c>
      <c r="S24" s="2">
        <v>0</v>
      </c>
      <c r="T24">
        <v>1E-3</v>
      </c>
      <c r="U24">
        <v>0.214</v>
      </c>
      <c r="V24" s="2">
        <v>0</v>
      </c>
      <c r="W24">
        <v>0.156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t="s">
        <v>226</v>
      </c>
      <c r="AF24" t="s">
        <v>227</v>
      </c>
      <c r="AG24" t="s">
        <v>228</v>
      </c>
      <c r="AH24" t="s">
        <v>229</v>
      </c>
      <c r="AI24" t="s">
        <v>230</v>
      </c>
    </row>
    <row r="25" spans="1:35" ht="18" x14ac:dyDescent="0.2">
      <c r="A25" s="2">
        <v>25</v>
      </c>
      <c r="B25" s="2" t="s">
        <v>124</v>
      </c>
      <c r="C25" s="2" t="s">
        <v>125</v>
      </c>
      <c r="D25" s="2" t="str">
        <f t="shared" si="1"/>
        <v>CC126x27x53</v>
      </c>
      <c r="E25" s="8" t="str">
        <f t="shared" si="2"/>
        <v>CC126</v>
      </c>
      <c r="F25" t="s">
        <v>245</v>
      </c>
      <c r="G25" s="2" t="s">
        <v>50</v>
      </c>
      <c r="H25" s="2">
        <v>27</v>
      </c>
      <c r="I25" t="s">
        <v>50</v>
      </c>
      <c r="J25">
        <f t="shared" si="0"/>
        <v>27</v>
      </c>
      <c r="K25" s="2">
        <v>0</v>
      </c>
      <c r="L25">
        <v>2E-3</v>
      </c>
      <c r="M25">
        <v>0.11700000000000001</v>
      </c>
      <c r="N25">
        <v>4.4999999999999998E-2</v>
      </c>
      <c r="O25" s="2">
        <v>0</v>
      </c>
      <c r="P25" s="2">
        <v>0</v>
      </c>
      <c r="Q25" s="2">
        <v>0</v>
      </c>
      <c r="R25">
        <v>1E-3</v>
      </c>
      <c r="S25" s="2">
        <v>0</v>
      </c>
      <c r="T25">
        <v>0.115</v>
      </c>
      <c r="U25">
        <v>0.20899999999999999</v>
      </c>
      <c r="V25" s="2">
        <v>0</v>
      </c>
      <c r="W25">
        <v>7.2999999999999995E-2</v>
      </c>
      <c r="X25" s="2">
        <v>0</v>
      </c>
      <c r="Y25">
        <v>1E-3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t="s">
        <v>244</v>
      </c>
      <c r="AF25" t="s">
        <v>245</v>
      </c>
      <c r="AG25" t="s">
        <v>246</v>
      </c>
      <c r="AH25" t="s">
        <v>247</v>
      </c>
      <c r="AI25" t="s">
        <v>248</v>
      </c>
    </row>
    <row r="26" spans="1:35" ht="18" x14ac:dyDescent="0.2">
      <c r="A26" s="2">
        <v>15</v>
      </c>
      <c r="B26" s="2" t="s">
        <v>104</v>
      </c>
      <c r="C26" s="2" t="s">
        <v>105</v>
      </c>
      <c r="D26" s="2" t="str">
        <f t="shared" si="1"/>
        <v>C1QRFx17x27</v>
      </c>
      <c r="E26" s="8" t="str">
        <f t="shared" si="2"/>
        <v>C1QRF</v>
      </c>
      <c r="F26" t="s">
        <v>250</v>
      </c>
      <c r="G26" s="2" t="s">
        <v>29</v>
      </c>
      <c r="H26" s="2">
        <v>11</v>
      </c>
      <c r="I26" t="s">
        <v>29</v>
      </c>
      <c r="J26">
        <f t="shared" si="0"/>
        <v>11</v>
      </c>
      <c r="K26" s="2">
        <v>0</v>
      </c>
      <c r="L26">
        <v>1E-3</v>
      </c>
      <c r="M26">
        <v>1.9E-2</v>
      </c>
      <c r="N26">
        <v>2.1999999999999999E-2</v>
      </c>
      <c r="O26" s="2">
        <v>0</v>
      </c>
      <c r="P26" s="2">
        <v>0</v>
      </c>
      <c r="Q26">
        <v>1E-3</v>
      </c>
      <c r="R26">
        <v>4.0000000000000001E-3</v>
      </c>
      <c r="S26" s="2">
        <v>0</v>
      </c>
      <c r="T26">
        <v>0.32900000000000001</v>
      </c>
      <c r="U26">
        <v>0.20699999999999999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>
        <v>6.0000000000000001E-3</v>
      </c>
      <c r="AC26" s="2">
        <v>0</v>
      </c>
      <c r="AD26" s="2">
        <v>0</v>
      </c>
      <c r="AE26" t="s">
        <v>249</v>
      </c>
      <c r="AF26" t="s">
        <v>250</v>
      </c>
      <c r="AG26" t="s">
        <v>251</v>
      </c>
      <c r="AH26" t="s">
        <v>252</v>
      </c>
      <c r="AI26" t="s">
        <v>253</v>
      </c>
    </row>
    <row r="27" spans="1:35" ht="18" x14ac:dyDescent="0.2">
      <c r="A27" s="2">
        <v>49</v>
      </c>
      <c r="B27" s="2" t="s">
        <v>172</v>
      </c>
      <c r="C27" s="2" t="s">
        <v>173</v>
      </c>
      <c r="D27" s="2" t="str">
        <f t="shared" si="1"/>
        <v>C1QT8x18x97</v>
      </c>
      <c r="E27" s="8" t="str">
        <f t="shared" si="2"/>
        <v>C1QT8</v>
      </c>
      <c r="F27" t="s">
        <v>255</v>
      </c>
      <c r="G27" s="2" t="s">
        <v>37</v>
      </c>
      <c r="H27" s="2">
        <v>80</v>
      </c>
      <c r="I27" t="s">
        <v>37</v>
      </c>
      <c r="J27">
        <f t="shared" si="0"/>
        <v>80</v>
      </c>
      <c r="K27" s="2">
        <v>0</v>
      </c>
      <c r="L27">
        <v>1E-3</v>
      </c>
      <c r="M27">
        <v>0.66800000000000004</v>
      </c>
      <c r="N27">
        <v>2.8000000000000001E-2</v>
      </c>
      <c r="O27">
        <v>1E-3</v>
      </c>
      <c r="P27">
        <v>1.2E-2</v>
      </c>
      <c r="Q27">
        <v>0.622</v>
      </c>
      <c r="R27">
        <v>7.4999999999999997E-2</v>
      </c>
      <c r="S27" s="2">
        <v>0</v>
      </c>
      <c r="T27">
        <v>1E-3</v>
      </c>
      <c r="U27" s="3">
        <v>0.19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t="s">
        <v>254</v>
      </c>
      <c r="AF27" t="s">
        <v>255</v>
      </c>
      <c r="AG27" t="s">
        <v>256</v>
      </c>
      <c r="AH27" t="s">
        <v>257</v>
      </c>
      <c r="AI27" t="s">
        <v>258</v>
      </c>
    </row>
    <row r="28" spans="1:35" ht="18" x14ac:dyDescent="0.2">
      <c r="A28" s="2">
        <v>5</v>
      </c>
      <c r="B28" s="2" t="s">
        <v>84</v>
      </c>
      <c r="C28" s="2" t="s">
        <v>85</v>
      </c>
      <c r="D28" s="2" t="str">
        <f t="shared" si="1"/>
        <v>BRNP3x383x529</v>
      </c>
      <c r="E28" s="8" t="str">
        <f t="shared" si="2"/>
        <v>BRNP3</v>
      </c>
      <c r="F28" t="s">
        <v>227</v>
      </c>
      <c r="G28" s="2" t="s">
        <v>26</v>
      </c>
      <c r="H28" s="2">
        <v>147</v>
      </c>
      <c r="I28" t="s">
        <v>26</v>
      </c>
      <c r="J28">
        <f t="shared" si="0"/>
        <v>147</v>
      </c>
      <c r="K28" s="2">
        <v>0</v>
      </c>
      <c r="L28">
        <v>1E-3</v>
      </c>
      <c r="M28">
        <v>8.8999999999999996E-2</v>
      </c>
      <c r="N28">
        <v>8.0000000000000002E-3</v>
      </c>
      <c r="O28" s="2">
        <v>0</v>
      </c>
      <c r="P28">
        <v>1E-3</v>
      </c>
      <c r="Q28">
        <v>1.4999999999999999E-2</v>
      </c>
      <c r="R28">
        <v>1.2999999999999999E-2</v>
      </c>
      <c r="S28" s="2">
        <v>0</v>
      </c>
      <c r="T28">
        <v>2E-3</v>
      </c>
      <c r="U28">
        <v>0.189</v>
      </c>
      <c r="V28" s="2">
        <v>0</v>
      </c>
      <c r="W28">
        <v>0.13100000000000001</v>
      </c>
      <c r="X28" s="2">
        <v>0</v>
      </c>
      <c r="Y28">
        <v>1E-3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t="s">
        <v>226</v>
      </c>
      <c r="AF28" t="s">
        <v>227</v>
      </c>
      <c r="AG28" t="s">
        <v>228</v>
      </c>
      <c r="AH28" t="s">
        <v>229</v>
      </c>
      <c r="AI28" t="s">
        <v>230</v>
      </c>
    </row>
    <row r="29" spans="1:35" ht="18" x14ac:dyDescent="0.2">
      <c r="A29" s="2">
        <v>48</v>
      </c>
      <c r="B29" s="2" t="s">
        <v>170</v>
      </c>
      <c r="C29" s="2" t="s">
        <v>171</v>
      </c>
      <c r="D29" s="2" t="str">
        <f t="shared" si="1"/>
        <v>BRNP2x34x103</v>
      </c>
      <c r="E29" s="8" t="str">
        <f t="shared" si="2"/>
        <v>BRNP2</v>
      </c>
      <c r="F29" t="s">
        <v>260</v>
      </c>
      <c r="G29" s="2" t="s">
        <v>22</v>
      </c>
      <c r="H29" s="2">
        <v>70</v>
      </c>
      <c r="I29" t="s">
        <v>22</v>
      </c>
      <c r="J29">
        <f t="shared" si="0"/>
        <v>70</v>
      </c>
      <c r="K29" s="2">
        <v>0</v>
      </c>
      <c r="L29" s="2">
        <v>0</v>
      </c>
      <c r="M29">
        <v>0.38600000000000001</v>
      </c>
      <c r="N29">
        <v>1.6E-2</v>
      </c>
      <c r="O29">
        <v>1E-3</v>
      </c>
      <c r="P29">
        <v>2E-3</v>
      </c>
      <c r="Q29">
        <v>0.16400000000000001</v>
      </c>
      <c r="R29">
        <v>2.4E-2</v>
      </c>
      <c r="S29" s="2">
        <v>0</v>
      </c>
      <c r="T29" s="3">
        <v>0.01</v>
      </c>
      <c r="U29">
        <v>0.17899999999999999</v>
      </c>
      <c r="V29" s="2">
        <v>0</v>
      </c>
      <c r="W29">
        <v>1E-3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t="s">
        <v>259</v>
      </c>
      <c r="AF29" t="s">
        <v>260</v>
      </c>
      <c r="AG29" t="s">
        <v>261</v>
      </c>
      <c r="AH29" t="s">
        <v>262</v>
      </c>
      <c r="AI29" t="s">
        <v>263</v>
      </c>
    </row>
    <row r="30" spans="1:35" ht="18" x14ac:dyDescent="0.2">
      <c r="A30" s="2">
        <v>22</v>
      </c>
      <c r="B30" s="2" t="s">
        <v>118</v>
      </c>
      <c r="C30" s="2" t="s">
        <v>119</v>
      </c>
      <c r="D30" s="2" t="str">
        <f t="shared" si="1"/>
        <v>C1QL2x22x28</v>
      </c>
      <c r="E30" s="8" t="str">
        <f t="shared" si="2"/>
        <v>C1QL2</v>
      </c>
      <c r="F30" t="s">
        <v>264</v>
      </c>
      <c r="G30" s="2" t="s">
        <v>32</v>
      </c>
      <c r="H30" s="2">
        <v>7</v>
      </c>
      <c r="I30" t="s">
        <v>32</v>
      </c>
      <c r="J30">
        <f t="shared" si="0"/>
        <v>7</v>
      </c>
      <c r="K30" s="2">
        <v>0</v>
      </c>
      <c r="L30" s="2">
        <v>0</v>
      </c>
      <c r="M30">
        <v>1.0999999999999999E-2</v>
      </c>
      <c r="N30">
        <v>8.0000000000000002E-3</v>
      </c>
      <c r="O30" s="2">
        <v>0</v>
      </c>
      <c r="P30">
        <v>1E-3</v>
      </c>
      <c r="Q30">
        <v>1E-3</v>
      </c>
      <c r="R30">
        <v>1.2999999999999999E-2</v>
      </c>
      <c r="S30" s="2">
        <v>0</v>
      </c>
      <c r="T30" s="3">
        <v>0.18</v>
      </c>
      <c r="U30">
        <v>0.152</v>
      </c>
      <c r="V30" s="2">
        <v>0</v>
      </c>
      <c r="W30" s="2">
        <v>0</v>
      </c>
      <c r="X30">
        <v>9.2999999999999999E-2</v>
      </c>
      <c r="Y30">
        <v>1E-3</v>
      </c>
      <c r="Z30" s="2">
        <v>0</v>
      </c>
      <c r="AA30">
        <v>2E-3</v>
      </c>
      <c r="AB30">
        <v>6.8000000000000005E-2</v>
      </c>
      <c r="AC30">
        <v>3.0000000000000001E-3</v>
      </c>
      <c r="AD30" s="2">
        <v>0</v>
      </c>
      <c r="AE30" t="s">
        <v>264</v>
      </c>
      <c r="AF30" t="s">
        <v>264</v>
      </c>
      <c r="AG30" t="s">
        <v>265</v>
      </c>
      <c r="AH30" t="s">
        <v>266</v>
      </c>
      <c r="AI30" t="s">
        <v>267</v>
      </c>
    </row>
    <row r="31" spans="1:35" ht="18" x14ac:dyDescent="0.2">
      <c r="A31" s="2">
        <v>18</v>
      </c>
      <c r="B31" s="2" t="s">
        <v>110</v>
      </c>
      <c r="C31" s="2" t="s">
        <v>111</v>
      </c>
      <c r="D31" s="2" t="str">
        <f t="shared" si="1"/>
        <v>CNPY4x108x152</v>
      </c>
      <c r="E31" s="8" t="str">
        <f t="shared" si="2"/>
        <v>CNPY4</v>
      </c>
      <c r="F31" t="s">
        <v>268</v>
      </c>
      <c r="G31" s="2" t="s">
        <v>74</v>
      </c>
      <c r="H31" s="2">
        <v>45</v>
      </c>
      <c r="I31" t="s">
        <v>74</v>
      </c>
      <c r="J31">
        <f t="shared" si="0"/>
        <v>45</v>
      </c>
      <c r="K31">
        <v>1E-3</v>
      </c>
      <c r="L31">
        <v>7.0000000000000001E-3</v>
      </c>
      <c r="M31" s="3">
        <v>0.12</v>
      </c>
      <c r="N31">
        <v>4.0000000000000001E-3</v>
      </c>
      <c r="O31" s="2">
        <v>0</v>
      </c>
      <c r="P31">
        <v>1E-3</v>
      </c>
      <c r="Q31">
        <v>4.3999999999999997E-2</v>
      </c>
      <c r="R31">
        <v>4.0000000000000001E-3</v>
      </c>
      <c r="S31" s="2">
        <v>0</v>
      </c>
      <c r="T31" s="2">
        <v>0</v>
      </c>
      <c r="U31">
        <v>0.106</v>
      </c>
      <c r="V31" s="2">
        <v>0</v>
      </c>
      <c r="W31" s="3">
        <v>0.01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t="s">
        <v>268</v>
      </c>
      <c r="AF31" t="s">
        <v>268</v>
      </c>
      <c r="AG31" t="s">
        <v>269</v>
      </c>
      <c r="AH31" t="s">
        <v>270</v>
      </c>
      <c r="AI31" t="s">
        <v>271</v>
      </c>
    </row>
    <row r="32" spans="1:35" ht="18" x14ac:dyDescent="0.2">
      <c r="A32" s="2">
        <v>9</v>
      </c>
      <c r="B32" s="2" t="s">
        <v>92</v>
      </c>
      <c r="C32" s="2" t="s">
        <v>93</v>
      </c>
      <c r="D32" s="2" t="str">
        <f t="shared" si="1"/>
        <v>BRNP1x89x109</v>
      </c>
      <c r="E32" s="8" t="str">
        <f t="shared" si="2"/>
        <v>BRNP1</v>
      </c>
      <c r="F32" t="s">
        <v>273</v>
      </c>
      <c r="G32" s="2" t="s">
        <v>21</v>
      </c>
      <c r="H32" s="2">
        <v>21</v>
      </c>
      <c r="I32" t="s">
        <v>21</v>
      </c>
      <c r="J32">
        <f t="shared" si="0"/>
        <v>21</v>
      </c>
      <c r="K32" s="2">
        <v>0</v>
      </c>
      <c r="L32">
        <v>2E-3</v>
      </c>
      <c r="M32">
        <v>0.23599999999999999</v>
      </c>
      <c r="N32">
        <v>2.7E-2</v>
      </c>
      <c r="O32">
        <v>1E-3</v>
      </c>
      <c r="P32" s="3">
        <v>0.03</v>
      </c>
      <c r="Q32">
        <v>0.253</v>
      </c>
      <c r="R32">
        <v>3.6999999999999998E-2</v>
      </c>
      <c r="S32" s="2">
        <v>0</v>
      </c>
      <c r="T32">
        <v>1.9E-2</v>
      </c>
      <c r="U32">
        <v>0.10100000000000001</v>
      </c>
      <c r="V32" s="2">
        <v>0</v>
      </c>
      <c r="W32">
        <v>1E-3</v>
      </c>
      <c r="X32" s="2">
        <v>0</v>
      </c>
      <c r="Y32">
        <v>1E-3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t="s">
        <v>272</v>
      </c>
      <c r="AF32" t="s">
        <v>273</v>
      </c>
      <c r="AG32" t="s">
        <v>274</v>
      </c>
      <c r="AH32" t="s">
        <v>275</v>
      </c>
      <c r="AI32" t="s">
        <v>276</v>
      </c>
    </row>
    <row r="33" spans="1:35" ht="18" x14ac:dyDescent="0.2">
      <c r="A33" s="2">
        <v>54</v>
      </c>
      <c r="B33" s="2" t="s">
        <v>182</v>
      </c>
      <c r="C33" s="2" t="s">
        <v>183</v>
      </c>
      <c r="D33" s="2" t="str">
        <f t="shared" si="1"/>
        <v>CC126x56x82</v>
      </c>
      <c r="E33" s="8" t="str">
        <f t="shared" si="2"/>
        <v>CC126</v>
      </c>
      <c r="F33" t="s">
        <v>245</v>
      </c>
      <c r="G33" s="2" t="s">
        <v>51</v>
      </c>
      <c r="H33" s="2">
        <v>27</v>
      </c>
      <c r="I33" t="s">
        <v>51</v>
      </c>
      <c r="J33">
        <f t="shared" si="0"/>
        <v>27</v>
      </c>
      <c r="K33" s="2">
        <v>0</v>
      </c>
      <c r="L33">
        <v>3.0000000000000001E-3</v>
      </c>
      <c r="M33">
        <v>0.32600000000000001</v>
      </c>
      <c r="N33">
        <v>3.5999999999999997E-2</v>
      </c>
      <c r="O33">
        <v>2E-3</v>
      </c>
      <c r="P33">
        <v>3.0000000000000001E-3</v>
      </c>
      <c r="Q33">
        <v>0.25700000000000001</v>
      </c>
      <c r="R33">
        <v>6.0999999999999999E-2</v>
      </c>
      <c r="S33" s="2">
        <v>0</v>
      </c>
      <c r="T33">
        <v>1.4999999999999999E-2</v>
      </c>
      <c r="U33">
        <v>8.1000000000000003E-2</v>
      </c>
      <c r="V33" s="2">
        <v>0</v>
      </c>
      <c r="W33">
        <v>2E-3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t="s">
        <v>244</v>
      </c>
      <c r="AF33" t="s">
        <v>245</v>
      </c>
      <c r="AG33" t="s">
        <v>246</v>
      </c>
      <c r="AH33" t="s">
        <v>247</v>
      </c>
      <c r="AI33" t="s">
        <v>248</v>
      </c>
    </row>
    <row r="34" spans="1:35" ht="18" x14ac:dyDescent="0.2">
      <c r="A34" s="2">
        <v>24</v>
      </c>
      <c r="B34" s="2" t="s">
        <v>122</v>
      </c>
      <c r="C34" s="2" t="s">
        <v>123</v>
      </c>
      <c r="D34" s="2" t="str">
        <f t="shared" si="1"/>
        <v>C1QL2x22x77</v>
      </c>
      <c r="E34" s="8" t="str">
        <f t="shared" si="2"/>
        <v>C1QL2</v>
      </c>
      <c r="F34" t="s">
        <v>264</v>
      </c>
      <c r="G34" s="2" t="s">
        <v>33</v>
      </c>
      <c r="H34" s="2">
        <v>56</v>
      </c>
      <c r="I34" t="s">
        <v>33</v>
      </c>
      <c r="J34">
        <f t="shared" ref="J34:J65" si="3">LEN(I34)</f>
        <v>56</v>
      </c>
      <c r="K34" s="2">
        <v>0</v>
      </c>
      <c r="L34">
        <v>1E-3</v>
      </c>
      <c r="M34">
        <v>0.153</v>
      </c>
      <c r="N34">
        <v>4.0000000000000001E-3</v>
      </c>
      <c r="O34" s="2">
        <v>0</v>
      </c>
      <c r="P34" s="2">
        <v>0</v>
      </c>
      <c r="Q34">
        <v>1.4999999999999999E-2</v>
      </c>
      <c r="R34">
        <v>1.0999999999999999E-2</v>
      </c>
      <c r="S34" s="2">
        <v>0</v>
      </c>
      <c r="T34">
        <v>2E-3</v>
      </c>
      <c r="U34">
        <v>7.9000000000000001E-2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t="s">
        <v>264</v>
      </c>
      <c r="AF34" t="s">
        <v>264</v>
      </c>
      <c r="AG34" t="s">
        <v>265</v>
      </c>
      <c r="AH34" t="s">
        <v>266</v>
      </c>
      <c r="AI34" t="s">
        <v>267</v>
      </c>
    </row>
    <row r="35" spans="1:35" ht="18" x14ac:dyDescent="0.2">
      <c r="A35" s="2">
        <v>51</v>
      </c>
      <c r="B35" s="2" t="s">
        <v>176</v>
      </c>
      <c r="C35" s="2" t="s">
        <v>177</v>
      </c>
      <c r="D35" s="2" t="str">
        <f t="shared" si="1"/>
        <v>BRNP3x355x380</v>
      </c>
      <c r="E35" s="8" t="str">
        <f t="shared" si="2"/>
        <v>BRNP3</v>
      </c>
      <c r="F35" t="s">
        <v>227</v>
      </c>
      <c r="G35" s="2" t="s">
        <v>25</v>
      </c>
      <c r="H35" s="2">
        <v>26</v>
      </c>
      <c r="I35" t="s">
        <v>25</v>
      </c>
      <c r="J35">
        <f t="shared" si="3"/>
        <v>26</v>
      </c>
      <c r="K35" s="2">
        <v>0</v>
      </c>
      <c r="L35" s="2">
        <v>0</v>
      </c>
      <c r="M35">
        <v>0.373</v>
      </c>
      <c r="N35">
        <v>7.0000000000000001E-3</v>
      </c>
      <c r="O35">
        <v>1E-3</v>
      </c>
      <c r="P35">
        <v>4.0000000000000001E-3</v>
      </c>
      <c r="Q35">
        <v>0.56100000000000005</v>
      </c>
      <c r="R35">
        <v>5.5E-2</v>
      </c>
      <c r="S35" s="2">
        <v>0</v>
      </c>
      <c r="T35" s="2">
        <v>0</v>
      </c>
      <c r="U35">
        <v>4.9000000000000002E-2</v>
      </c>
      <c r="V35" s="2">
        <v>0</v>
      </c>
      <c r="W35">
        <v>3.0000000000000001E-3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t="s">
        <v>226</v>
      </c>
      <c r="AF35" t="s">
        <v>227</v>
      </c>
      <c r="AG35" t="s">
        <v>228</v>
      </c>
      <c r="AH35" t="s">
        <v>229</v>
      </c>
      <c r="AI35" t="s">
        <v>230</v>
      </c>
    </row>
    <row r="36" spans="1:35" ht="18" x14ac:dyDescent="0.2">
      <c r="A36" s="2">
        <v>20</v>
      </c>
      <c r="B36" s="2" t="s">
        <v>114</v>
      </c>
      <c r="C36" s="2" t="s">
        <v>115</v>
      </c>
      <c r="D36" s="2" t="str">
        <f t="shared" si="1"/>
        <v>C1QL3x21x48</v>
      </c>
      <c r="E36" s="8" t="str">
        <f t="shared" si="2"/>
        <v>C1QL3</v>
      </c>
      <c r="F36" t="s">
        <v>240</v>
      </c>
      <c r="G36" s="2" t="s">
        <v>35</v>
      </c>
      <c r="H36" s="2">
        <v>28</v>
      </c>
      <c r="I36" t="s">
        <v>35</v>
      </c>
      <c r="J36">
        <f t="shared" si="3"/>
        <v>28</v>
      </c>
      <c r="K36" s="2">
        <v>0</v>
      </c>
      <c r="L36" s="2">
        <v>0</v>
      </c>
      <c r="M36">
        <v>0.111</v>
      </c>
      <c r="N36">
        <v>4.0000000000000001E-3</v>
      </c>
      <c r="O36" s="2">
        <v>0</v>
      </c>
      <c r="P36">
        <v>1E-3</v>
      </c>
      <c r="Q36">
        <v>8.8999999999999996E-2</v>
      </c>
      <c r="R36">
        <v>2.5999999999999999E-2</v>
      </c>
      <c r="S36" s="2">
        <v>0</v>
      </c>
      <c r="T36" s="2">
        <v>0</v>
      </c>
      <c r="U36">
        <v>4.2999999999999997E-2</v>
      </c>
      <c r="V36" s="2">
        <v>0</v>
      </c>
      <c r="W36">
        <v>5.0000000000000001E-3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t="s">
        <v>240</v>
      </c>
      <c r="AF36" t="s">
        <v>240</v>
      </c>
      <c r="AG36" t="s">
        <v>241</v>
      </c>
      <c r="AH36" t="s">
        <v>242</v>
      </c>
      <c r="AI36" t="s">
        <v>243</v>
      </c>
    </row>
    <row r="37" spans="1:35" ht="18" x14ac:dyDescent="0.2">
      <c r="A37" s="2">
        <v>30</v>
      </c>
      <c r="B37" s="2" t="s">
        <v>134</v>
      </c>
      <c r="C37" s="2" t="s">
        <v>135</v>
      </c>
      <c r="D37" s="2" t="str">
        <f t="shared" si="1"/>
        <v>CASQ1x35x61</v>
      </c>
      <c r="E37" s="8" t="str">
        <f t="shared" si="2"/>
        <v>CASQ1</v>
      </c>
      <c r="F37" t="s">
        <v>277</v>
      </c>
      <c r="G37" s="2" t="s">
        <v>41</v>
      </c>
      <c r="H37" s="2">
        <v>27</v>
      </c>
      <c r="I37" t="s">
        <v>41</v>
      </c>
      <c r="J37">
        <f t="shared" si="3"/>
        <v>27</v>
      </c>
      <c r="K37" s="2">
        <v>0</v>
      </c>
      <c r="L37">
        <v>2E-3</v>
      </c>
      <c r="M37">
        <v>0.16500000000000001</v>
      </c>
      <c r="N37">
        <v>6.0000000000000001E-3</v>
      </c>
      <c r="O37" s="2">
        <v>0</v>
      </c>
      <c r="P37">
        <v>4.0000000000000001E-3</v>
      </c>
      <c r="Q37">
        <v>0.29299999999999998</v>
      </c>
      <c r="R37">
        <v>1.4E-2</v>
      </c>
      <c r="S37" s="2">
        <v>0</v>
      </c>
      <c r="T37">
        <v>0.29099999999999998</v>
      </c>
      <c r="U37">
        <v>4.2000000000000003E-2</v>
      </c>
      <c r="V37" s="2">
        <v>0</v>
      </c>
      <c r="W37">
        <v>1.2E-2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t="s">
        <v>277</v>
      </c>
      <c r="AF37" t="s">
        <v>277</v>
      </c>
      <c r="AG37" t="s">
        <v>278</v>
      </c>
      <c r="AH37" t="s">
        <v>279</v>
      </c>
      <c r="AI37" t="s">
        <v>280</v>
      </c>
    </row>
    <row r="38" spans="1:35" ht="18" x14ac:dyDescent="0.2">
      <c r="A38" s="2">
        <v>42</v>
      </c>
      <c r="B38" s="2" t="s">
        <v>158</v>
      </c>
      <c r="C38" s="2" t="s">
        <v>159</v>
      </c>
      <c r="D38" s="2" t="str">
        <f t="shared" si="1"/>
        <v>C1QL4x16x61</v>
      </c>
      <c r="E38" s="8" t="str">
        <f t="shared" si="2"/>
        <v>C1QL4</v>
      </c>
      <c r="F38" t="s">
        <v>281</v>
      </c>
      <c r="G38" s="2" t="s">
        <v>36</v>
      </c>
      <c r="H38" s="2">
        <v>46</v>
      </c>
      <c r="I38" t="s">
        <v>36</v>
      </c>
      <c r="J38">
        <f t="shared" si="3"/>
        <v>46</v>
      </c>
      <c r="K38" s="2">
        <v>0</v>
      </c>
      <c r="L38" s="2">
        <v>0</v>
      </c>
      <c r="M38">
        <v>0.41299999999999998</v>
      </c>
      <c r="N38">
        <v>1.7999999999999999E-2</v>
      </c>
      <c r="O38">
        <v>2E-3</v>
      </c>
      <c r="P38">
        <v>2E-3</v>
      </c>
      <c r="Q38">
        <v>8.1000000000000003E-2</v>
      </c>
      <c r="R38">
        <v>2.7E-2</v>
      </c>
      <c r="S38" s="2">
        <v>0</v>
      </c>
      <c r="T38">
        <v>1E-3</v>
      </c>
      <c r="U38">
        <v>3.5000000000000003E-2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t="s">
        <v>281</v>
      </c>
      <c r="AF38" t="s">
        <v>281</v>
      </c>
      <c r="AG38" t="s">
        <v>282</v>
      </c>
      <c r="AH38" t="s">
        <v>283</v>
      </c>
      <c r="AI38" t="s">
        <v>284</v>
      </c>
    </row>
    <row r="39" spans="1:35" ht="18" x14ac:dyDescent="0.2">
      <c r="A39" s="2">
        <v>17</v>
      </c>
      <c r="B39" s="2" t="s">
        <v>108</v>
      </c>
      <c r="C39" s="2" t="s">
        <v>109</v>
      </c>
      <c r="D39" s="2" t="str">
        <f t="shared" si="1"/>
        <v>CC134x219x229</v>
      </c>
      <c r="E39" s="8" t="str">
        <f t="shared" si="2"/>
        <v>CC134</v>
      </c>
      <c r="F39" t="s">
        <v>286</v>
      </c>
      <c r="G39" s="2" t="s">
        <v>53</v>
      </c>
      <c r="H39" s="2">
        <v>11</v>
      </c>
      <c r="I39" t="s">
        <v>53</v>
      </c>
      <c r="J39">
        <f t="shared" si="3"/>
        <v>11</v>
      </c>
      <c r="K39" s="2">
        <v>0</v>
      </c>
      <c r="L39" s="2">
        <v>0</v>
      </c>
      <c r="M39">
        <v>4.0000000000000001E-3</v>
      </c>
      <c r="N39" s="2">
        <v>0</v>
      </c>
      <c r="O39" s="2">
        <v>0</v>
      </c>
      <c r="P39" s="2">
        <v>0</v>
      </c>
      <c r="Q39">
        <v>2.1999999999999999E-2</v>
      </c>
      <c r="R39">
        <v>8.0000000000000002E-3</v>
      </c>
      <c r="S39" s="2">
        <v>0</v>
      </c>
      <c r="T39" s="3">
        <v>0.11</v>
      </c>
      <c r="U39">
        <v>3.3000000000000002E-2</v>
      </c>
      <c r="V39" s="2">
        <v>0</v>
      </c>
      <c r="W39">
        <v>1E-3</v>
      </c>
      <c r="X39" s="2">
        <v>0</v>
      </c>
      <c r="Y39">
        <v>0.13200000000000001</v>
      </c>
      <c r="Z39" s="2">
        <v>0</v>
      </c>
      <c r="AA39" s="2">
        <v>0</v>
      </c>
      <c r="AB39">
        <v>1E-3</v>
      </c>
      <c r="AC39" s="2">
        <v>0</v>
      </c>
      <c r="AD39" s="2">
        <v>0</v>
      </c>
      <c r="AE39" t="s">
        <v>285</v>
      </c>
      <c r="AF39" t="s">
        <v>286</v>
      </c>
      <c r="AG39" t="s">
        <v>287</v>
      </c>
      <c r="AH39" t="s">
        <v>288</v>
      </c>
      <c r="AI39" t="s">
        <v>289</v>
      </c>
    </row>
    <row r="40" spans="1:35" ht="18" x14ac:dyDescent="0.2">
      <c r="A40" s="2">
        <v>37</v>
      </c>
      <c r="B40" s="2" t="s">
        <v>148</v>
      </c>
      <c r="C40" s="2" t="s">
        <v>149</v>
      </c>
      <c r="D40" s="2" t="str">
        <f t="shared" si="1"/>
        <v>CBLN1x22x32</v>
      </c>
      <c r="E40" s="8" t="str">
        <f t="shared" si="2"/>
        <v>CBLN1</v>
      </c>
      <c r="F40" t="s">
        <v>208</v>
      </c>
      <c r="G40" s="2" t="s">
        <v>42</v>
      </c>
      <c r="H40" s="2">
        <v>11</v>
      </c>
      <c r="I40" t="s">
        <v>42</v>
      </c>
      <c r="J40">
        <f t="shared" si="3"/>
        <v>11</v>
      </c>
      <c r="K40" s="2">
        <v>0</v>
      </c>
      <c r="L40" s="2">
        <v>0</v>
      </c>
      <c r="M40">
        <v>0.2</v>
      </c>
      <c r="N40">
        <v>0.32900000000000001</v>
      </c>
      <c r="O40" s="2">
        <v>0</v>
      </c>
      <c r="P40">
        <v>1E-3</v>
      </c>
      <c r="Q40">
        <v>1E-3</v>
      </c>
      <c r="R40">
        <v>2E-3</v>
      </c>
      <c r="S40" s="2">
        <v>0</v>
      </c>
      <c r="T40">
        <v>7.0999999999999994E-2</v>
      </c>
      <c r="U40">
        <v>3.3000000000000002E-2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>
        <v>4.0000000000000001E-3</v>
      </c>
      <c r="AB40" s="3">
        <v>0.23</v>
      </c>
      <c r="AC40">
        <v>1E-3</v>
      </c>
      <c r="AD40" s="2">
        <v>0</v>
      </c>
      <c r="AE40" t="s">
        <v>208</v>
      </c>
      <c r="AF40" t="s">
        <v>208</v>
      </c>
      <c r="AG40" t="s">
        <v>209</v>
      </c>
      <c r="AH40" t="s">
        <v>210</v>
      </c>
      <c r="AI40" t="s">
        <v>211</v>
      </c>
    </row>
    <row r="41" spans="1:35" ht="18" x14ac:dyDescent="0.2">
      <c r="A41" s="2">
        <v>6</v>
      </c>
      <c r="B41" s="2" t="s">
        <v>86</v>
      </c>
      <c r="C41" s="2" t="s">
        <v>87</v>
      </c>
      <c r="D41" s="2" t="str">
        <f t="shared" si="1"/>
        <v>SCG1x36x64</v>
      </c>
      <c r="E41" s="8" t="str">
        <f t="shared" si="2"/>
        <v>SCG1</v>
      </c>
      <c r="F41" t="s">
        <v>218</v>
      </c>
      <c r="G41" s="2" t="s">
        <v>64</v>
      </c>
      <c r="H41" s="2">
        <v>29</v>
      </c>
      <c r="I41" t="s">
        <v>64</v>
      </c>
      <c r="J41">
        <f t="shared" si="3"/>
        <v>29</v>
      </c>
      <c r="K41" s="2">
        <v>0</v>
      </c>
      <c r="L41">
        <v>6.0000000000000001E-3</v>
      </c>
      <c r="M41">
        <v>0.26200000000000001</v>
      </c>
      <c r="N41">
        <v>4.2999999999999997E-2</v>
      </c>
      <c r="O41">
        <v>1E-3</v>
      </c>
      <c r="P41">
        <v>5.0000000000000001E-3</v>
      </c>
      <c r="Q41">
        <v>0.30499999999999999</v>
      </c>
      <c r="R41" s="3">
        <v>0.08</v>
      </c>
      <c r="S41" s="2">
        <v>0</v>
      </c>
      <c r="T41" s="2">
        <v>0</v>
      </c>
      <c r="U41" s="3">
        <v>0.02</v>
      </c>
      <c r="V41" s="2">
        <v>0</v>
      </c>
      <c r="W41">
        <v>2.1000000000000001E-2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t="s">
        <v>217</v>
      </c>
      <c r="AF41" t="s">
        <v>218</v>
      </c>
      <c r="AG41" t="s">
        <v>219</v>
      </c>
      <c r="AH41" t="s">
        <v>220</v>
      </c>
      <c r="AI41" t="s">
        <v>221</v>
      </c>
    </row>
    <row r="42" spans="1:35" ht="18" x14ac:dyDescent="0.2">
      <c r="A42" s="2">
        <v>47</v>
      </c>
      <c r="B42" s="2" t="s">
        <v>168</v>
      </c>
      <c r="C42" s="2" t="s">
        <v>169</v>
      </c>
      <c r="D42" s="2" t="str">
        <f t="shared" si="1"/>
        <v>CHID1x20x113</v>
      </c>
      <c r="E42" s="8" t="str">
        <f t="shared" si="2"/>
        <v>CHID1</v>
      </c>
      <c r="F42" t="s">
        <v>290</v>
      </c>
      <c r="G42" s="2" t="s">
        <v>70</v>
      </c>
      <c r="H42" s="2">
        <v>94</v>
      </c>
      <c r="I42" t="s">
        <v>70</v>
      </c>
      <c r="J42">
        <f t="shared" si="3"/>
        <v>94</v>
      </c>
      <c r="K42" s="2">
        <v>0</v>
      </c>
      <c r="L42">
        <v>3.0000000000000001E-3</v>
      </c>
      <c r="M42">
        <v>1.4999999999999999E-2</v>
      </c>
      <c r="N42">
        <v>1E-3</v>
      </c>
      <c r="O42" s="2">
        <v>0</v>
      </c>
      <c r="P42" s="2">
        <v>0</v>
      </c>
      <c r="Q42">
        <v>2.4E-2</v>
      </c>
      <c r="R42">
        <v>4.0000000000000001E-3</v>
      </c>
      <c r="S42" s="2">
        <v>0</v>
      </c>
      <c r="T42" s="2">
        <v>0</v>
      </c>
      <c r="U42" s="3">
        <v>0.02</v>
      </c>
      <c r="V42" s="2">
        <v>0</v>
      </c>
      <c r="W42">
        <v>2E-3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t="s">
        <v>290</v>
      </c>
      <c r="AF42" t="s">
        <v>290</v>
      </c>
      <c r="AG42" t="s">
        <v>291</v>
      </c>
      <c r="AH42" t="s">
        <v>292</v>
      </c>
      <c r="AI42" t="s">
        <v>293</v>
      </c>
    </row>
    <row r="43" spans="1:35" ht="18" x14ac:dyDescent="0.2">
      <c r="A43" s="2">
        <v>45</v>
      </c>
      <c r="B43" s="2" t="s">
        <v>164</v>
      </c>
      <c r="C43" s="2" t="s">
        <v>165</v>
      </c>
      <c r="D43" s="2" t="str">
        <f t="shared" si="1"/>
        <v>CC134x23x35</v>
      </c>
      <c r="E43" s="8" t="str">
        <f t="shared" si="2"/>
        <v>CC134</v>
      </c>
      <c r="F43" t="s">
        <v>286</v>
      </c>
      <c r="G43" s="2" t="s">
        <v>55</v>
      </c>
      <c r="H43" s="2">
        <v>13</v>
      </c>
      <c r="I43" t="s">
        <v>55</v>
      </c>
      <c r="J43">
        <f t="shared" si="3"/>
        <v>13</v>
      </c>
      <c r="K43" s="2">
        <v>0</v>
      </c>
      <c r="L43">
        <v>1E-3</v>
      </c>
      <c r="M43">
        <v>7.9000000000000001E-2</v>
      </c>
      <c r="N43" s="3">
        <v>0.02</v>
      </c>
      <c r="O43" s="2">
        <v>0</v>
      </c>
      <c r="P43">
        <v>1E-3</v>
      </c>
      <c r="Q43" s="3">
        <v>0.01</v>
      </c>
      <c r="R43">
        <v>1.2E-2</v>
      </c>
      <c r="S43" s="2">
        <v>0</v>
      </c>
      <c r="T43">
        <v>1.9E-2</v>
      </c>
      <c r="U43">
        <v>1.6E-2</v>
      </c>
      <c r="V43" s="2">
        <v>0</v>
      </c>
      <c r="W43" s="3">
        <v>0.01</v>
      </c>
      <c r="X43">
        <v>6.0000000000000001E-3</v>
      </c>
      <c r="Y43">
        <v>0.38700000000000001</v>
      </c>
      <c r="Z43" s="2">
        <v>0</v>
      </c>
      <c r="AA43" s="2">
        <v>0</v>
      </c>
      <c r="AB43" s="2">
        <v>0</v>
      </c>
      <c r="AC43">
        <v>1E-3</v>
      </c>
      <c r="AD43" s="2">
        <v>0</v>
      </c>
      <c r="AE43" t="s">
        <v>285</v>
      </c>
      <c r="AF43" t="s">
        <v>286</v>
      </c>
      <c r="AG43" t="s">
        <v>287</v>
      </c>
      <c r="AH43" t="s">
        <v>288</v>
      </c>
      <c r="AI43" t="s">
        <v>289</v>
      </c>
    </row>
    <row r="44" spans="1:35" ht="18" x14ac:dyDescent="0.2">
      <c r="A44" s="2">
        <v>1</v>
      </c>
      <c r="B44" s="2" t="s">
        <v>76</v>
      </c>
      <c r="C44" s="2" t="s">
        <v>77</v>
      </c>
      <c r="D44" s="2" t="str">
        <f t="shared" si="1"/>
        <v>CCER2x24x86</v>
      </c>
      <c r="E44" s="8" t="str">
        <f t="shared" si="2"/>
        <v>CCER2</v>
      </c>
      <c r="F44" t="s">
        <v>294</v>
      </c>
      <c r="G44" s="2" t="s">
        <v>56</v>
      </c>
      <c r="H44" s="2">
        <v>63</v>
      </c>
      <c r="I44" t="s">
        <v>56</v>
      </c>
      <c r="J44">
        <f t="shared" si="3"/>
        <v>63</v>
      </c>
      <c r="K44" s="2">
        <v>0</v>
      </c>
      <c r="L44">
        <v>3.0000000000000001E-3</v>
      </c>
      <c r="M44">
        <v>0.32600000000000001</v>
      </c>
      <c r="N44">
        <v>1.7000000000000001E-2</v>
      </c>
      <c r="O44" s="2">
        <v>0</v>
      </c>
      <c r="P44">
        <v>1E-3</v>
      </c>
      <c r="Q44">
        <v>6.0999999999999999E-2</v>
      </c>
      <c r="R44">
        <v>8.0000000000000002E-3</v>
      </c>
      <c r="S44" s="2">
        <v>0</v>
      </c>
      <c r="T44" s="2">
        <v>0</v>
      </c>
      <c r="U44">
        <v>1.4999999999999999E-2</v>
      </c>
      <c r="V44" s="2">
        <v>0</v>
      </c>
      <c r="W44">
        <v>1E-3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t="s">
        <v>294</v>
      </c>
      <c r="AF44" t="s">
        <v>294</v>
      </c>
      <c r="AG44" t="s">
        <v>295</v>
      </c>
      <c r="AH44" t="s">
        <v>296</v>
      </c>
      <c r="AI44" t="s">
        <v>297</v>
      </c>
    </row>
    <row r="45" spans="1:35" ht="18" x14ac:dyDescent="0.2">
      <c r="A45" s="2">
        <v>43</v>
      </c>
      <c r="B45" s="2" t="s">
        <v>160</v>
      </c>
      <c r="C45" s="2" t="s">
        <v>161</v>
      </c>
      <c r="D45" s="2" t="str">
        <f t="shared" si="1"/>
        <v>CC126x85x130</v>
      </c>
      <c r="E45" s="8" t="str">
        <f t="shared" si="2"/>
        <v>CC126</v>
      </c>
      <c r="F45" t="s">
        <v>245</v>
      </c>
      <c r="G45" s="2" t="s">
        <v>52</v>
      </c>
      <c r="H45" s="2">
        <v>46</v>
      </c>
      <c r="I45" t="s">
        <v>52</v>
      </c>
      <c r="J45">
        <f t="shared" si="3"/>
        <v>46</v>
      </c>
      <c r="K45" s="2">
        <v>0</v>
      </c>
      <c r="L45">
        <v>1E-3</v>
      </c>
      <c r="M45">
        <v>0.49199999999999999</v>
      </c>
      <c r="N45">
        <v>2.4E-2</v>
      </c>
      <c r="O45" s="2">
        <v>0</v>
      </c>
      <c r="P45">
        <v>2E-3</v>
      </c>
      <c r="Q45" s="3">
        <v>0.43</v>
      </c>
      <c r="R45">
        <v>3.2000000000000001E-2</v>
      </c>
      <c r="S45" s="2">
        <v>0</v>
      </c>
      <c r="T45" s="3">
        <v>0.01</v>
      </c>
      <c r="U45">
        <v>8.9999999999999993E-3</v>
      </c>
      <c r="V45" s="2">
        <v>0</v>
      </c>
      <c r="W45">
        <v>4.8000000000000001E-2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t="s">
        <v>244</v>
      </c>
      <c r="AF45" t="s">
        <v>245</v>
      </c>
      <c r="AG45" t="s">
        <v>246</v>
      </c>
      <c r="AH45" t="s">
        <v>247</v>
      </c>
      <c r="AI45" t="s">
        <v>248</v>
      </c>
    </row>
    <row r="46" spans="1:35" ht="18" x14ac:dyDescent="0.2">
      <c r="A46" s="2">
        <v>11</v>
      </c>
      <c r="B46" s="2" t="s">
        <v>96</v>
      </c>
      <c r="C46" s="2" t="s">
        <v>97</v>
      </c>
      <c r="D46" s="2" t="str">
        <f t="shared" si="1"/>
        <v>CLUSx23x66</v>
      </c>
      <c r="E46" s="8" t="str">
        <f t="shared" si="2"/>
        <v>CLUS</v>
      </c>
      <c r="F46" t="s">
        <v>299</v>
      </c>
      <c r="G46" s="2" t="s">
        <v>72</v>
      </c>
      <c r="H46" s="2">
        <v>44</v>
      </c>
      <c r="I46" t="s">
        <v>72</v>
      </c>
      <c r="J46">
        <f t="shared" si="3"/>
        <v>44</v>
      </c>
      <c r="K46" s="2">
        <v>0</v>
      </c>
      <c r="L46">
        <v>1E-3</v>
      </c>
      <c r="M46">
        <v>0.35099999999999998</v>
      </c>
      <c r="N46">
        <v>4.2999999999999997E-2</v>
      </c>
      <c r="O46" s="2">
        <v>0</v>
      </c>
      <c r="P46">
        <v>1E-3</v>
      </c>
      <c r="Q46">
        <v>3.4000000000000002E-2</v>
      </c>
      <c r="R46">
        <v>1.0999999999999999E-2</v>
      </c>
      <c r="S46">
        <v>3.0000000000000001E-3</v>
      </c>
      <c r="T46">
        <v>4.0000000000000001E-3</v>
      </c>
      <c r="U46">
        <v>8.0000000000000002E-3</v>
      </c>
      <c r="V46" s="2">
        <v>0</v>
      </c>
      <c r="W46" s="5">
        <v>0.39600000000000002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t="s">
        <v>298</v>
      </c>
      <c r="AF46" t="s">
        <v>299</v>
      </c>
      <c r="AG46" t="s">
        <v>300</v>
      </c>
      <c r="AH46" t="s">
        <v>301</v>
      </c>
      <c r="AI46" t="s">
        <v>302</v>
      </c>
    </row>
    <row r="47" spans="1:35" ht="18" x14ac:dyDescent="0.2">
      <c r="A47" s="2">
        <v>46</v>
      </c>
      <c r="B47" s="2" t="s">
        <v>166</v>
      </c>
      <c r="C47" s="2" t="s">
        <v>167</v>
      </c>
      <c r="D47" s="2" t="str">
        <f t="shared" si="1"/>
        <v>CC134x23x41</v>
      </c>
      <c r="E47" s="8" t="str">
        <f t="shared" si="2"/>
        <v>CC134</v>
      </c>
      <c r="F47" t="s">
        <v>286</v>
      </c>
      <c r="G47" s="2" t="s">
        <v>54</v>
      </c>
      <c r="H47" s="2">
        <v>19</v>
      </c>
      <c r="I47" t="s">
        <v>54</v>
      </c>
      <c r="J47">
        <f t="shared" si="3"/>
        <v>19</v>
      </c>
      <c r="K47" s="2">
        <v>0</v>
      </c>
      <c r="L47">
        <v>2E-3</v>
      </c>
      <c r="M47">
        <v>1E-3</v>
      </c>
      <c r="N47">
        <v>1E-3</v>
      </c>
      <c r="O47" s="2">
        <v>0</v>
      </c>
      <c r="P47" s="2">
        <v>0</v>
      </c>
      <c r="Q47" s="2">
        <v>0</v>
      </c>
      <c r="R47">
        <v>1E-3</v>
      </c>
      <c r="S47" s="2">
        <v>0</v>
      </c>
      <c r="T47">
        <v>3.0000000000000001E-3</v>
      </c>
      <c r="U47">
        <v>8.0000000000000002E-3</v>
      </c>
      <c r="V47" s="2">
        <v>0</v>
      </c>
      <c r="W47">
        <v>2.7E-2</v>
      </c>
      <c r="X47" s="2">
        <v>0</v>
      </c>
      <c r="Y47" s="3">
        <v>0.01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t="s">
        <v>285</v>
      </c>
      <c r="AF47" t="s">
        <v>286</v>
      </c>
      <c r="AG47" t="s">
        <v>287</v>
      </c>
      <c r="AH47" t="s">
        <v>288</v>
      </c>
      <c r="AI47" t="s">
        <v>289</v>
      </c>
    </row>
    <row r="48" spans="1:35" ht="18" x14ac:dyDescent="0.2">
      <c r="A48" s="2">
        <v>27</v>
      </c>
      <c r="B48" s="2" t="s">
        <v>128</v>
      </c>
      <c r="C48" s="2" t="s">
        <v>129</v>
      </c>
      <c r="D48" s="2" t="str">
        <f t="shared" si="1"/>
        <v>BRNP3x95x128</v>
      </c>
      <c r="E48" s="8" t="str">
        <f t="shared" si="2"/>
        <v>BRNP3</v>
      </c>
      <c r="F48" t="s">
        <v>227</v>
      </c>
      <c r="G48" s="2" t="s">
        <v>24</v>
      </c>
      <c r="H48" s="2">
        <v>34</v>
      </c>
      <c r="I48" t="s">
        <v>24</v>
      </c>
      <c r="J48">
        <f t="shared" si="3"/>
        <v>34</v>
      </c>
      <c r="K48" s="2">
        <v>0</v>
      </c>
      <c r="L48">
        <v>5.0000000000000001E-3</v>
      </c>
      <c r="M48" s="3">
        <v>0.38</v>
      </c>
      <c r="N48">
        <v>0.114</v>
      </c>
      <c r="O48">
        <v>2E-3</v>
      </c>
      <c r="P48">
        <v>1.2E-2</v>
      </c>
      <c r="Q48">
        <v>0.36299999999999999</v>
      </c>
      <c r="R48">
        <v>9.0999999999999998E-2</v>
      </c>
      <c r="S48" s="2">
        <v>0</v>
      </c>
      <c r="T48">
        <v>8.0000000000000002E-3</v>
      </c>
      <c r="U48">
        <v>7.0000000000000001E-3</v>
      </c>
      <c r="V48" s="2">
        <v>0</v>
      </c>
      <c r="W48">
        <v>3.1E-2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t="s">
        <v>226</v>
      </c>
      <c r="AF48" t="s">
        <v>227</v>
      </c>
      <c r="AG48" t="s">
        <v>228</v>
      </c>
      <c r="AH48" t="s">
        <v>229</v>
      </c>
      <c r="AI48" t="s">
        <v>230</v>
      </c>
    </row>
    <row r="49" spans="1:35" ht="18" x14ac:dyDescent="0.2">
      <c r="A49" s="2">
        <v>28</v>
      </c>
      <c r="B49" s="2" t="s">
        <v>130</v>
      </c>
      <c r="C49" s="2" t="s">
        <v>131</v>
      </c>
      <c r="D49" s="2" t="str">
        <f t="shared" si="1"/>
        <v>SCG1x588x597</v>
      </c>
      <c r="E49" s="8" t="str">
        <f t="shared" si="2"/>
        <v>SCG1</v>
      </c>
      <c r="F49" t="s">
        <v>218</v>
      </c>
      <c r="G49" s="2" t="s">
        <v>66</v>
      </c>
      <c r="H49" s="2">
        <v>10</v>
      </c>
      <c r="I49" t="s">
        <v>66</v>
      </c>
      <c r="J49">
        <f t="shared" si="3"/>
        <v>10</v>
      </c>
      <c r="K49" s="2">
        <v>0</v>
      </c>
      <c r="L49" s="2">
        <v>0</v>
      </c>
      <c r="M49">
        <v>2.1000000000000001E-2</v>
      </c>
      <c r="N49">
        <v>1E-3</v>
      </c>
      <c r="O49" s="2">
        <v>0</v>
      </c>
      <c r="P49">
        <v>1E-3</v>
      </c>
      <c r="Q49">
        <v>1.9E-2</v>
      </c>
      <c r="R49">
        <v>8.0000000000000002E-3</v>
      </c>
      <c r="S49" s="2">
        <v>0</v>
      </c>
      <c r="T49">
        <v>3.7999999999999999E-2</v>
      </c>
      <c r="U49">
        <v>5.0000000000000001E-3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>
        <v>2E-3</v>
      </c>
      <c r="AB49">
        <v>7.6999999999999999E-2</v>
      </c>
      <c r="AC49">
        <v>1.0999999999999999E-2</v>
      </c>
      <c r="AD49" s="2">
        <v>0</v>
      </c>
      <c r="AE49" t="s">
        <v>217</v>
      </c>
      <c r="AF49" t="s">
        <v>218</v>
      </c>
      <c r="AG49" t="s">
        <v>219</v>
      </c>
      <c r="AH49" t="s">
        <v>220</v>
      </c>
      <c r="AI49" t="s">
        <v>221</v>
      </c>
    </row>
    <row r="50" spans="1:35" ht="18" x14ac:dyDescent="0.2">
      <c r="A50" s="2">
        <v>40</v>
      </c>
      <c r="B50" s="2" t="s">
        <v>154</v>
      </c>
      <c r="C50" s="2" t="s">
        <v>155</v>
      </c>
      <c r="D50" s="2" t="str">
        <f t="shared" si="1"/>
        <v>BST1x33x79</v>
      </c>
      <c r="E50" s="8" t="str">
        <f t="shared" si="2"/>
        <v>BST1</v>
      </c>
      <c r="F50" t="s">
        <v>303</v>
      </c>
      <c r="G50" s="2" t="s">
        <v>28</v>
      </c>
      <c r="H50" s="2">
        <v>47</v>
      </c>
      <c r="I50" t="s">
        <v>28</v>
      </c>
      <c r="J50">
        <f t="shared" si="3"/>
        <v>47</v>
      </c>
      <c r="K50" s="2">
        <v>0</v>
      </c>
      <c r="L50">
        <v>2E-3</v>
      </c>
      <c r="M50">
        <v>0.17799999999999999</v>
      </c>
      <c r="N50">
        <v>5.6000000000000001E-2</v>
      </c>
      <c r="O50">
        <v>1E-3</v>
      </c>
      <c r="P50">
        <v>5.0000000000000001E-3</v>
      </c>
      <c r="Q50" s="3">
        <v>7.0000000000000007E-2</v>
      </c>
      <c r="R50">
        <v>1.6E-2</v>
      </c>
      <c r="S50" s="2">
        <v>0</v>
      </c>
      <c r="T50">
        <v>2E-3</v>
      </c>
      <c r="U50">
        <v>4.0000000000000001E-3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t="s">
        <v>303</v>
      </c>
      <c r="AF50" t="s">
        <v>303</v>
      </c>
      <c r="AG50" t="s">
        <v>304</v>
      </c>
      <c r="AH50" t="s">
        <v>305</v>
      </c>
      <c r="AI50" t="s">
        <v>306</v>
      </c>
    </row>
    <row r="51" spans="1:35" ht="18" x14ac:dyDescent="0.2">
      <c r="A51" s="2">
        <v>2</v>
      </c>
      <c r="B51" s="2" t="s">
        <v>78</v>
      </c>
      <c r="C51" s="2" t="s">
        <v>79</v>
      </c>
      <c r="D51" s="2" t="str">
        <f t="shared" si="1"/>
        <v>CCL19x72x93</v>
      </c>
      <c r="E51" s="8" t="str">
        <f t="shared" si="2"/>
        <v>CCL19</v>
      </c>
      <c r="F51" t="s">
        <v>307</v>
      </c>
      <c r="G51" s="2" t="s">
        <v>57</v>
      </c>
      <c r="H51" s="2">
        <v>22</v>
      </c>
      <c r="I51" t="s">
        <v>57</v>
      </c>
      <c r="J51">
        <f t="shared" si="3"/>
        <v>22</v>
      </c>
      <c r="K51" s="2">
        <v>0</v>
      </c>
      <c r="L51">
        <v>1E-3</v>
      </c>
      <c r="M51">
        <v>7.6999999999999999E-2</v>
      </c>
      <c r="N51">
        <v>5.0000000000000001E-3</v>
      </c>
      <c r="O51" s="2">
        <v>0</v>
      </c>
      <c r="P51">
        <v>1E-3</v>
      </c>
      <c r="Q51">
        <v>0.106</v>
      </c>
      <c r="R51" s="3">
        <v>0.01</v>
      </c>
      <c r="S51" s="2">
        <v>0</v>
      </c>
      <c r="T51" s="2">
        <v>0</v>
      </c>
      <c r="U51">
        <v>3.0000000000000001E-3</v>
      </c>
      <c r="V51" s="2">
        <v>0</v>
      </c>
      <c r="W51" s="5">
        <v>0.45900000000000002</v>
      </c>
      <c r="X51" s="2">
        <v>0</v>
      </c>
      <c r="Y51">
        <v>7.0000000000000001E-3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t="s">
        <v>307</v>
      </c>
      <c r="AF51" t="s">
        <v>307</v>
      </c>
      <c r="AG51" t="s">
        <v>308</v>
      </c>
      <c r="AH51" t="s">
        <v>309</v>
      </c>
      <c r="AI51" t="s">
        <v>310</v>
      </c>
    </row>
    <row r="52" spans="1:35" ht="18" x14ac:dyDescent="0.2">
      <c r="A52" s="2">
        <v>16</v>
      </c>
      <c r="B52" s="2" t="s">
        <v>106</v>
      </c>
      <c r="C52" s="2" t="s">
        <v>107</v>
      </c>
      <c r="D52" s="2" t="str">
        <f t="shared" si="1"/>
        <v>C1QRFx17x37</v>
      </c>
      <c r="E52" s="8" t="str">
        <f t="shared" si="2"/>
        <v>C1QRF</v>
      </c>
      <c r="F52" t="s">
        <v>250</v>
      </c>
      <c r="G52" s="2" t="s">
        <v>30</v>
      </c>
      <c r="H52" s="2">
        <v>21</v>
      </c>
      <c r="I52" t="s">
        <v>30</v>
      </c>
      <c r="J52">
        <f t="shared" si="3"/>
        <v>21</v>
      </c>
      <c r="K52" s="2">
        <v>0</v>
      </c>
      <c r="L52">
        <v>4.0000000000000001E-3</v>
      </c>
      <c r="M52">
        <v>4.7E-2</v>
      </c>
      <c r="N52">
        <v>1.9E-2</v>
      </c>
      <c r="O52" s="2">
        <v>0</v>
      </c>
      <c r="P52">
        <v>2E-3</v>
      </c>
      <c r="Q52">
        <v>1.4E-2</v>
      </c>
      <c r="R52">
        <v>1.4E-2</v>
      </c>
      <c r="S52" s="2">
        <v>0</v>
      </c>
      <c r="T52" s="2">
        <v>0</v>
      </c>
      <c r="U52">
        <v>1E-3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t="s">
        <v>249</v>
      </c>
      <c r="AF52" t="s">
        <v>250</v>
      </c>
      <c r="AG52" t="s">
        <v>251</v>
      </c>
      <c r="AH52" t="s">
        <v>252</v>
      </c>
      <c r="AI52" t="s">
        <v>253</v>
      </c>
    </row>
    <row r="53" spans="1:35" ht="18" x14ac:dyDescent="0.2">
      <c r="A53" s="2">
        <v>23</v>
      </c>
      <c r="B53" s="2" t="s">
        <v>120</v>
      </c>
      <c r="C53" s="2" t="s">
        <v>121</v>
      </c>
      <c r="D53" s="2" t="str">
        <f t="shared" si="1"/>
        <v>C1QL2x22x32</v>
      </c>
      <c r="E53" s="8" t="str">
        <f t="shared" si="2"/>
        <v>C1QL2</v>
      </c>
      <c r="F53" t="s">
        <v>264</v>
      </c>
      <c r="G53" s="2" t="s">
        <v>31</v>
      </c>
      <c r="H53" s="2">
        <v>11</v>
      </c>
      <c r="I53" t="s">
        <v>31</v>
      </c>
      <c r="J53">
        <f t="shared" si="3"/>
        <v>11</v>
      </c>
      <c r="K53" s="2">
        <v>0</v>
      </c>
      <c r="L53" s="2">
        <v>0</v>
      </c>
      <c r="M53">
        <v>0.182</v>
      </c>
      <c r="N53">
        <v>2.1000000000000001E-2</v>
      </c>
      <c r="O53" s="2">
        <v>0</v>
      </c>
      <c r="P53" s="2">
        <v>0</v>
      </c>
      <c r="Q53">
        <v>5.0000000000000001E-3</v>
      </c>
      <c r="R53">
        <v>8.9999999999999993E-3</v>
      </c>
      <c r="S53" s="2">
        <v>0</v>
      </c>
      <c r="T53" s="2">
        <v>0</v>
      </c>
      <c r="U53">
        <v>1E-3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t="s">
        <v>264</v>
      </c>
      <c r="AF53" t="s">
        <v>264</v>
      </c>
      <c r="AG53" t="s">
        <v>265</v>
      </c>
      <c r="AH53" t="s">
        <v>266</v>
      </c>
      <c r="AI53" t="s">
        <v>267</v>
      </c>
    </row>
    <row r="54" spans="1:35" ht="18" x14ac:dyDescent="0.2">
      <c r="A54" s="2">
        <v>14</v>
      </c>
      <c r="B54" s="2" t="s">
        <v>102</v>
      </c>
      <c r="C54" s="2" t="s">
        <v>103</v>
      </c>
      <c r="D54" s="2" t="str">
        <f t="shared" si="1"/>
        <v>CER1x133x139</v>
      </c>
      <c r="E54" s="8" t="str">
        <f t="shared" si="2"/>
        <v>CER1</v>
      </c>
      <c r="F54" t="s">
        <v>311</v>
      </c>
      <c r="G54" s="2" t="s">
        <v>58</v>
      </c>
      <c r="H54" s="2">
        <v>7</v>
      </c>
      <c r="I54" t="s">
        <v>58</v>
      </c>
      <c r="J54">
        <f t="shared" si="3"/>
        <v>7</v>
      </c>
      <c r="K54" s="2">
        <v>0</v>
      </c>
      <c r="L54">
        <v>1E-3</v>
      </c>
      <c r="M54">
        <v>0.19600000000000001</v>
      </c>
      <c r="N54">
        <v>1.7999999999999999E-2</v>
      </c>
      <c r="O54">
        <v>2E-3</v>
      </c>
      <c r="P54">
        <v>4.0000000000000001E-3</v>
      </c>
      <c r="Q54" s="3">
        <v>0.59</v>
      </c>
      <c r="R54">
        <v>6.6000000000000003E-2</v>
      </c>
      <c r="S54" s="2">
        <v>0</v>
      </c>
      <c r="T54">
        <v>1E-3</v>
      </c>
      <c r="U54" s="2">
        <v>0</v>
      </c>
      <c r="V54" s="2">
        <v>0</v>
      </c>
      <c r="W54" s="2">
        <v>0</v>
      </c>
      <c r="X54" s="2">
        <v>0</v>
      </c>
      <c r="Y54">
        <v>1E-3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t="s">
        <v>311</v>
      </c>
      <c r="AF54" t="s">
        <v>311</v>
      </c>
      <c r="AG54" t="s">
        <v>312</v>
      </c>
      <c r="AH54" t="s">
        <v>313</v>
      </c>
      <c r="AI54" t="s">
        <v>314</v>
      </c>
    </row>
    <row r="55" spans="1:35" ht="18" x14ac:dyDescent="0.2">
      <c r="A55" s="2">
        <v>44</v>
      </c>
      <c r="B55" s="2" t="s">
        <v>162</v>
      </c>
      <c r="C55" s="2" t="s">
        <v>163</v>
      </c>
      <c r="D55" s="2" t="str">
        <f t="shared" si="1"/>
        <v>CLUSx69x77</v>
      </c>
      <c r="E55" s="8" t="str">
        <f t="shared" si="2"/>
        <v>CLUS</v>
      </c>
      <c r="F55" t="s">
        <v>299</v>
      </c>
      <c r="G55" s="2" t="s">
        <v>73</v>
      </c>
      <c r="H55" s="2">
        <v>9</v>
      </c>
      <c r="I55" t="s">
        <v>73</v>
      </c>
      <c r="J55">
        <f t="shared" si="3"/>
        <v>9</v>
      </c>
      <c r="K55" s="2">
        <v>0</v>
      </c>
      <c r="L55">
        <v>1E-3</v>
      </c>
      <c r="M55">
        <v>4.3999999999999997E-2</v>
      </c>
      <c r="N55">
        <v>8.9999999999999993E-3</v>
      </c>
      <c r="O55" s="2">
        <v>0</v>
      </c>
      <c r="P55" s="2">
        <v>0</v>
      </c>
      <c r="Q55">
        <v>4.8000000000000001E-2</v>
      </c>
      <c r="R55">
        <v>1.0999999999999999E-2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>
        <v>6.6000000000000003E-2</v>
      </c>
      <c r="Y55">
        <v>0.13300000000000001</v>
      </c>
      <c r="Z55" s="2">
        <v>0</v>
      </c>
      <c r="AA55" s="2">
        <v>0</v>
      </c>
      <c r="AB55">
        <v>1.2999999999999999E-2</v>
      </c>
      <c r="AC55">
        <v>0.222</v>
      </c>
      <c r="AD55" s="2">
        <v>0</v>
      </c>
      <c r="AE55" t="s">
        <v>298</v>
      </c>
      <c r="AF55" t="s">
        <v>299</v>
      </c>
      <c r="AG55" t="s">
        <v>300</v>
      </c>
      <c r="AH55" t="s">
        <v>301</v>
      </c>
      <c r="AI55" t="s">
        <v>302</v>
      </c>
    </row>
    <row r="58" spans="1:35" x14ac:dyDescent="0.2">
      <c r="I58" t="s">
        <v>184</v>
      </c>
    </row>
  </sheetData>
  <sortState xmlns:xlrd2="http://schemas.microsoft.com/office/spreadsheetml/2017/richdata2" ref="A2:AD58">
    <sortCondition descending="1" ref="U1:U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Francis Brulois</cp:lastModifiedBy>
  <dcterms:created xsi:type="dcterms:W3CDTF">2025-10-20T23:12:17Z</dcterms:created>
  <dcterms:modified xsi:type="dcterms:W3CDTF">2025-10-22T23:25:06Z</dcterms:modified>
</cp:coreProperties>
</file>